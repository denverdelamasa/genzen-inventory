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A2EA7A02-368A-4E02-8575-E8B128E17593}" xr6:coauthVersionLast="47" xr6:coauthVersionMax="47" xr10:uidLastSave="{00000000-0000-0000-0000-000000000000}"/>
  <bookViews>
    <workbookView xWindow="14430" yWindow="4215" windowWidth="14370" windowHeight="11385" tabRatio="873" xr2:uid="{00000000-000D-0000-FFFF-FFFF00000000}"/>
  </bookViews>
  <sheets>
    <sheet name="Dashboard" sheetId="8" r:id="rId1"/>
    <sheet name="Inventory_DB" sheetId="1" r:id="rId2"/>
    <sheet name="Inventory_Form" sheetId="3" r:id="rId3"/>
    <sheet name="Outgoing_DB" sheetId="14" r:id="rId4"/>
    <sheet name="Config" sheetId="5" r:id="rId5"/>
    <sheet name="Lists" sheetId="4" r:id="rId6"/>
  </sheets>
  <functionGroups builtInGroupCount="19"/>
  <externalReferences>
    <externalReference r:id="rId7"/>
  </externalReferences>
  <definedNames>
    <definedName name="Ampoule">OFFSET([1]TypeList!$A$2,0,0,COUNTA([1]TypeList!$A:$A)-1,1)</definedName>
    <definedName name="TypeDropdown">OFFSET([1]TypeList!$A$2,0,0,COUNTA([1]TypeList!$A:$A)-1,1)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3" l="1"/>
  <c r="C10" i="3"/>
</calcChain>
</file>

<file path=xl/sharedStrings.xml><?xml version="1.0" encoding="utf-8"?>
<sst xmlns="http://schemas.openxmlformats.org/spreadsheetml/2006/main" count="495" uniqueCount="267">
  <si>
    <t>Supply</t>
  </si>
  <si>
    <t>Expiration Date:</t>
  </si>
  <si>
    <t>Type:</t>
  </si>
  <si>
    <t>Type</t>
  </si>
  <si>
    <t>Ampoule</t>
  </si>
  <si>
    <t>Vial</t>
  </si>
  <si>
    <t>Bottle</t>
  </si>
  <si>
    <t>Tablet</t>
  </si>
  <si>
    <t>Dose:</t>
  </si>
  <si>
    <t>Batch/Lot No:</t>
  </si>
  <si>
    <t>P06540820</t>
  </si>
  <si>
    <t>ACIPRO</t>
  </si>
  <si>
    <t>LI40628</t>
  </si>
  <si>
    <t>DG50503</t>
  </si>
  <si>
    <t>Capsule</t>
  </si>
  <si>
    <t>27D373</t>
  </si>
  <si>
    <t>ADT25004</t>
  </si>
  <si>
    <t>23HB242</t>
  </si>
  <si>
    <t>KE25500</t>
  </si>
  <si>
    <t>M-04025</t>
  </si>
  <si>
    <t>Box</t>
  </si>
  <si>
    <t>Sachet</t>
  </si>
  <si>
    <t>MHEL/386</t>
  </si>
  <si>
    <t>LI50543</t>
  </si>
  <si>
    <t>27D490A</t>
  </si>
  <si>
    <t>C-217015</t>
  </si>
  <si>
    <t>Sold To:</t>
  </si>
  <si>
    <t>PO Number:</t>
  </si>
  <si>
    <t>Batch #:</t>
  </si>
  <si>
    <t>Manual entry (default to today)</t>
  </si>
  <si>
    <t>Customer name</t>
  </si>
  <si>
    <t>Type the exact batch number</t>
  </si>
  <si>
    <t>OUTGOING FORM</t>
  </si>
  <si>
    <t>CO-2026-PHAR-02-0001</t>
  </si>
  <si>
    <t>LUNG CENTER OF THE PHILIPPINES</t>
  </si>
  <si>
    <t>DATE</t>
  </si>
  <si>
    <t>SOLD TO</t>
  </si>
  <si>
    <t>P.O. NUMBER</t>
  </si>
  <si>
    <t>BATCH#</t>
  </si>
  <si>
    <t>QTY</t>
  </si>
  <si>
    <t>DOSE</t>
  </si>
  <si>
    <t>Total Selling Amount:</t>
  </si>
  <si>
    <r>
      <t xml:space="preserve">Date </t>
    </r>
    <r>
      <rPr>
        <i/>
        <sz val="9"/>
        <rFont val="Bahnschrift"/>
        <family val="2"/>
      </rPr>
      <t>DD/MM/YYYY</t>
    </r>
    <r>
      <rPr>
        <b/>
        <sz val="9"/>
        <rFont val="Bahnschrift"/>
        <family val="2"/>
      </rPr>
      <t>:</t>
    </r>
  </si>
  <si>
    <t>ADQ25006</t>
  </si>
  <si>
    <t>#022026</t>
  </si>
  <si>
    <t>#021326</t>
  </si>
  <si>
    <t>Quantity Ordered:</t>
  </si>
  <si>
    <t>#021026</t>
  </si>
  <si>
    <t>#021926</t>
  </si>
  <si>
    <t>total amount sold (Total SUM amount nung product)</t>
  </si>
  <si>
    <t>#021826</t>
  </si>
  <si>
    <t>#020926</t>
  </si>
  <si>
    <t>2508AE0</t>
  </si>
  <si>
    <t>2026-0209-014</t>
  </si>
  <si>
    <t>1659N5002</t>
  </si>
  <si>
    <t>#011026</t>
  </si>
  <si>
    <t>P06540728</t>
  </si>
  <si>
    <t>Nebulizer</t>
  </si>
  <si>
    <t>JIA250405</t>
  </si>
  <si>
    <t>Tubes</t>
  </si>
  <si>
    <t>190BLB</t>
  </si>
  <si>
    <t>RF16P</t>
  </si>
  <si>
    <t>Solution</t>
  </si>
  <si>
    <t>JIA250403</t>
  </si>
  <si>
    <t>JIA250401</t>
  </si>
  <si>
    <t>#030326</t>
  </si>
  <si>
    <t>F14800001C</t>
  </si>
  <si>
    <t>GLT25049</t>
  </si>
  <si>
    <t>JIA250402</t>
  </si>
  <si>
    <t>(DD/MM/YYYY)</t>
  </si>
  <si>
    <t>Item</t>
  </si>
  <si>
    <t>BoxCount:</t>
  </si>
  <si>
    <t>Cost (Per Piece):</t>
  </si>
  <si>
    <t>Brand/Generic:</t>
  </si>
  <si>
    <t>Display-Item:</t>
  </si>
  <si>
    <t>SEARCH FORM (COST)</t>
  </si>
  <si>
    <t>#031026</t>
  </si>
  <si>
    <t>#031126</t>
  </si>
  <si>
    <t>Batch #'s:</t>
  </si>
  <si>
    <t>INVENTORY/IN-GOING FORM</t>
  </si>
  <si>
    <t>Exp:</t>
  </si>
  <si>
    <t>JIA250715</t>
  </si>
  <si>
    <t>JIA250705</t>
  </si>
  <si>
    <t>Record ID:</t>
  </si>
  <si>
    <t>Total Quantity:</t>
  </si>
  <si>
    <t>JIA250711</t>
  </si>
  <si>
    <t>5H265</t>
  </si>
  <si>
    <t>4503AZ</t>
  </si>
  <si>
    <t>KPP15019</t>
  </si>
  <si>
    <t>&lt;---- Per Piece…</t>
  </si>
  <si>
    <t>LVTI-005</t>
  </si>
  <si>
    <t>#031626</t>
  </si>
  <si>
    <t>CONTROLS</t>
  </si>
  <si>
    <t xml:space="preserve"> </t>
  </si>
  <si>
    <t>&lt;-----------------------------------------------------click every new input</t>
  </si>
  <si>
    <t>&lt;-----------------------------------------------------For Total Cost Calulation issues</t>
  </si>
  <si>
    <t>&lt;-----------------------------------------------------just to Change GenericName to "Proper Case"</t>
  </si>
  <si>
    <t>2507052401</t>
  </si>
  <si>
    <t>Dose/Size:</t>
  </si>
  <si>
    <t>Generic/Item name:</t>
  </si>
  <si>
    <t>SORT</t>
  </si>
  <si>
    <t>#032326</t>
  </si>
  <si>
    <t>#032426</t>
  </si>
  <si>
    <t>CO-2026-PHAR-03-0006</t>
  </si>
  <si>
    <t>Batch</t>
  </si>
  <si>
    <t>Qty</t>
  </si>
  <si>
    <t>Expiry</t>
  </si>
  <si>
    <t>QUICK STOCK LOOKUP</t>
  </si>
  <si>
    <t>Search (Batch / Product):</t>
  </si>
  <si>
    <t>Cost (Per Literal Piece):</t>
  </si>
  <si>
    <t>MBA2526017</t>
  </si>
  <si>
    <t>JIA250716</t>
  </si>
  <si>
    <t>#032726</t>
  </si>
  <si>
    <t>#033026</t>
  </si>
  <si>
    <t>#033126</t>
  </si>
  <si>
    <t>Remarks</t>
  </si>
  <si>
    <t>Exclusive</t>
  </si>
  <si>
    <t>Open Market</t>
  </si>
  <si>
    <t>RecordID Config</t>
  </si>
  <si>
    <t>#040126</t>
  </si>
  <si>
    <t>Exp date (MM/YYYY), to specify specific item (may magkaparehas kasing batch no. pero iba)</t>
  </si>
  <si>
    <t>&lt;- barely used...</t>
  </si>
  <si>
    <t>kung walang PO #, Reference: kunware, Feb 23, 2026, susulat mo: 02, 23, 26, bale "MMDDYY"</t>
  </si>
  <si>
    <t>Remarks:</t>
  </si>
  <si>
    <t>&lt;---- If Exclusive ba sya or open market product</t>
  </si>
  <si>
    <t>BATCH #</t>
  </si>
  <si>
    <t>FLU5002</t>
  </si>
  <si>
    <r>
      <t xml:space="preserve">&lt;--------- dito yung mga </t>
    </r>
    <r>
      <rPr>
        <b/>
        <i/>
        <u/>
        <sz val="8"/>
        <color theme="0" tint="-0.14999847407452621"/>
        <rFont val="Calibri"/>
        <family val="2"/>
        <scheme val="minor"/>
      </rPr>
      <t>PUMAPASOK</t>
    </r>
    <r>
      <rPr>
        <i/>
        <sz val="8"/>
        <color theme="0" tint="-0.14999847407452621"/>
        <rFont val="Calibri"/>
        <family val="2"/>
        <scheme val="minor"/>
      </rPr>
      <t xml:space="preserve"> sa stockroom ()</t>
    </r>
  </si>
  <si>
    <r>
      <t xml:space="preserve">&lt;--------- dito yung mga </t>
    </r>
    <r>
      <rPr>
        <b/>
        <i/>
        <u/>
        <sz val="8"/>
        <color theme="0" tint="-0.14999847407452621"/>
        <rFont val="Calibri"/>
        <family val="2"/>
        <scheme val="minor"/>
      </rPr>
      <t>LUMALABAS</t>
    </r>
    <r>
      <rPr>
        <i/>
        <sz val="8"/>
        <color theme="0" tint="-0.14999847407452621"/>
        <rFont val="Calibri"/>
        <family val="2"/>
        <scheme val="minor"/>
      </rPr>
      <t xml:space="preserve"> sa stockroom ()</t>
    </r>
  </si>
  <si>
    <r>
      <t xml:space="preserve">Number sold, </t>
    </r>
    <r>
      <rPr>
        <b/>
        <i/>
        <u/>
        <sz val="8"/>
        <color theme="0" tint="-0.14999847407452621"/>
        <rFont val="Calibri"/>
        <family val="2"/>
        <scheme val="minor"/>
      </rPr>
      <t>PER PIECE</t>
    </r>
    <r>
      <rPr>
        <i/>
        <sz val="8"/>
        <color theme="0" tint="-0.14999847407452621"/>
        <rFont val="Calibri"/>
        <family val="2"/>
        <scheme val="minor"/>
      </rPr>
      <t>, * to the box's "100s" to properly quantify till it's smallest form</t>
    </r>
  </si>
  <si>
    <t>Unit Price</t>
  </si>
  <si>
    <t>LAST UPDATED (DD/MM/YYYY)</t>
  </si>
  <si>
    <t>Acetylcysteine (ACTEINSAPH) 600mg Tablet 20's</t>
  </si>
  <si>
    <t>Acetylcysteine (FLUSOOTHIN) 600mg Tablet 10's</t>
  </si>
  <si>
    <t>Atorvastatin (BRELVASTIN) 40mg Tablet 100's</t>
  </si>
  <si>
    <t>Atorvastatin (LESTOR) 20mg Tablet 100's</t>
  </si>
  <si>
    <t>Atropine (TROPIN) 1mg/ml Ampoule 10's</t>
  </si>
  <si>
    <t>Betahistine (CENVERT-16) 16mg Tablet 100's</t>
  </si>
  <si>
    <t>Biemefrin (NOREPI) 1mg/ml Ampoule 10's</t>
  </si>
  <si>
    <t>Calcium Carbonate (AMBICAL) 500mg Tablet 100's</t>
  </si>
  <si>
    <t>Cefixime (SUPRAPHIL 200) 200mg Tablet 30's</t>
  </si>
  <si>
    <t>Ceftazidime (ZEFTACARE) 1g Vial 1's</t>
  </si>
  <si>
    <t>Ciprofloxacin (ACIPRO) 200mg/100ml Vial 1's</t>
  </si>
  <si>
    <t>Clindamycin (CLINDAPHIL) 150mg/ml Ampoule 10's</t>
  </si>
  <si>
    <t>Dexamethasone (DEXGEN) 4mg/ml Ampoule 10's</t>
  </si>
  <si>
    <t>Dextrose (EUROMED) 50%, 50ml Vial 20's</t>
  </si>
  <si>
    <t>Diphenhydramine (HISTAMOX) 50mg Capsule 100's</t>
  </si>
  <si>
    <t>Dopamine (GOPAMINE) 40mg/ml Ampoule 5's</t>
  </si>
  <si>
    <t>Doxycycline (MYDOXY) 100mg Capsule 100's</t>
  </si>
  <si>
    <t>Fluconazole 2mg/ml Vial</t>
  </si>
  <si>
    <t>Furosemide (FUROGEN) 10mg/ml Ampoule 10's</t>
  </si>
  <si>
    <t>Ipratrorium + Salbutamol (RELAXSAPH) 200mcg/ml Ampoule 30's</t>
  </si>
  <si>
    <t>Ketorolac (KETOROPORS) 30mg/ml Ampoule 10's</t>
  </si>
  <si>
    <t>Lactulose (LUZLAX) 3.33mg/5ml Bottle 1's</t>
  </si>
  <si>
    <t>Levetiracetam (MASOLEV) 100mg/ml Vial 1's</t>
  </si>
  <si>
    <t>Mefenamic Acid (MECID) 500mg Capsule 100's</t>
  </si>
  <si>
    <t>Metoclopramide Hydrochloride (METO) 10mg Tablet 100's</t>
  </si>
  <si>
    <t>Metroformin Hydrochloride (GLYCEMET) 500mg Tablet 100's</t>
  </si>
  <si>
    <t>Metronidazole (METROZEN) 5mg/ml Bottle 1's</t>
  </si>
  <si>
    <t>Multivitamins (MULTICAPS) Capsule 100's</t>
  </si>
  <si>
    <t>Nicardipine Hydrochloride (CARDIGEN) 1mg/ml Ampoule 5's</t>
  </si>
  <si>
    <t>Omeprazole (ZENOMEP) 40mg Vial 1's</t>
  </si>
  <si>
    <t>Ondanserton (VOMISTOP) 2mg/ml Ampoule 5's</t>
  </si>
  <si>
    <t>Oxacillin (OXAVIN) 500mg Vial 10's</t>
  </si>
  <si>
    <t>Paracetamol (PARAZEN) 150mg/ml Ampoule 10's</t>
  </si>
  <si>
    <t>Prednisone (VONWELT) 10mg Tablet 100's</t>
  </si>
  <si>
    <t>Sodium Bicarbonate (BICARGEN) 650mg Tablet 60's</t>
  </si>
  <si>
    <t>Sodium Bicarbonate (SOLUNATE) 84mg/ml Ampoule 50's</t>
  </si>
  <si>
    <t>Tranexamic Acid (GENEX) 100mg Ampoule 5's</t>
  </si>
  <si>
    <t>Tranexamic Acid (HAEMOREX) 100mg/ml Ampoule 100's</t>
  </si>
  <si>
    <t>Vit B Complex Tab (NERVITA 100) 100mg/5mg/50mcg Tablet 100's</t>
  </si>
  <si>
    <t>Zoledronic (ZOLMITZ) 4mg Vial 1's</t>
  </si>
  <si>
    <t>ITEM</t>
  </si>
  <si>
    <t>QTY (CURRENT)</t>
  </si>
  <si>
    <t>TYPE</t>
  </si>
  <si>
    <t>REMARKS</t>
  </si>
  <si>
    <t>GZ-PHARMA-0738</t>
  </si>
  <si>
    <t>EC0095</t>
  </si>
  <si>
    <t>#041026</t>
  </si>
  <si>
    <t>Isosorbide (ISOLYTE-30) 30mg Tablet 100's</t>
  </si>
  <si>
    <t>Piperacillim + Tazobactam (PIPETASAPH 4.5) 4g/500mg Vial 1's</t>
  </si>
  <si>
    <t>Ipratrorium + Salbutamol (RELAXSAPH) 200mcg/1mg Nebulizer 30's</t>
  </si>
  <si>
    <t>#041326</t>
  </si>
  <si>
    <t>25-109</t>
  </si>
  <si>
    <t>Dexamethasone (DEXTON) 5mg/ml Ampoule</t>
  </si>
  <si>
    <t>LUNG CENTER OF THE PHILIPPINES - EP</t>
  </si>
  <si>
    <t>MHEL380</t>
  </si>
  <si>
    <t>Lactulose (LACTUDEN) 3.35g/5ml Bottle 1's</t>
  </si>
  <si>
    <t>RECORD ID</t>
  </si>
  <si>
    <t>BATCH(CURRENT)</t>
  </si>
  <si>
    <t>EXP (CURRENT)</t>
  </si>
  <si>
    <t>NEW BATCH</t>
  </si>
  <si>
    <t>NEW EXP</t>
  </si>
  <si>
    <t>NEW QTY</t>
  </si>
  <si>
    <t>SEARCH:</t>
  </si>
  <si>
    <t>INVENTORY EDITOR</t>
  </si>
  <si>
    <t>2525AE0</t>
  </si>
  <si>
    <t>#041426</t>
  </si>
  <si>
    <t>Sodium Bicarbonate (SOLUNATE) 8.4% w/v Ampoule 50's</t>
  </si>
  <si>
    <t>#041126</t>
  </si>
  <si>
    <t>Wood Shelf - WS</t>
  </si>
  <si>
    <t>Fridge - F</t>
  </si>
  <si>
    <t>Reserved Area - R</t>
  </si>
  <si>
    <t xml:space="preserve">Storage Area - S </t>
  </si>
  <si>
    <t>Supply Shelf - SS</t>
  </si>
  <si>
    <t>LOCATION GUIDE:</t>
  </si>
  <si>
    <t>UNIT PRICE (FOR CHECKING):</t>
  </si>
  <si>
    <t>Location:</t>
  </si>
  <si>
    <t>COST(piece)</t>
  </si>
  <si>
    <t>EXP (MM/YYYY)</t>
  </si>
  <si>
    <t>GENERIC</t>
  </si>
  <si>
    <t>BRAND</t>
  </si>
  <si>
    <t>BOXCOUNT</t>
  </si>
  <si>
    <t>TOTAL COST</t>
  </si>
  <si>
    <t>DATE ADDED</t>
  </si>
  <si>
    <t>LAST UPDATE</t>
  </si>
  <si>
    <t>STATUS</t>
  </si>
  <si>
    <t>LOCATION</t>
  </si>
  <si>
    <t>Anti-tetanus Serum (ANTITET) 1500IU Ampoule 10's [F]</t>
  </si>
  <si>
    <t>Purified Vero Cell Rabies Vaccine (ABHAYRAB) 2.5IU/0.5ml Vial [F]</t>
  </si>
  <si>
    <t>Tetanus Toxoid (ABHAY-TOX) 40IU/0.5mL Vial 10's [F]</t>
  </si>
  <si>
    <t>#041726</t>
  </si>
  <si>
    <t>MBA2526002</t>
  </si>
  <si>
    <t>NEW GENERIC</t>
  </si>
  <si>
    <t>NEW BRAND</t>
  </si>
  <si>
    <t>NEW DOSAGE</t>
  </si>
  <si>
    <t>NEW BOXCOUNT</t>
  </si>
  <si>
    <t>NEW TYPE</t>
  </si>
  <si>
    <t>#042026</t>
  </si>
  <si>
    <t>TOTAL SRP</t>
  </si>
  <si>
    <t>Shelf Black - SB</t>
  </si>
  <si>
    <r>
      <t xml:space="preserve">Shelf Black - </t>
    </r>
    <r>
      <rPr>
        <b/>
        <sz val="10"/>
        <rFont val="Bahnschrift Condensed"/>
        <family val="2"/>
      </rPr>
      <t>SB</t>
    </r>
  </si>
  <si>
    <r>
      <t xml:space="preserve">Wood Shelf - </t>
    </r>
    <r>
      <rPr>
        <b/>
        <sz val="10"/>
        <rFont val="Bahnschrift Condensed"/>
        <family val="2"/>
      </rPr>
      <t>WS</t>
    </r>
  </si>
  <si>
    <r>
      <t xml:space="preserve">Fridge - </t>
    </r>
    <r>
      <rPr>
        <b/>
        <sz val="10"/>
        <rFont val="Bahnschrift Condensed"/>
        <family val="2"/>
      </rPr>
      <t>F</t>
    </r>
  </si>
  <si>
    <r>
      <t xml:space="preserve">Reserved Area - </t>
    </r>
    <r>
      <rPr>
        <b/>
        <sz val="10"/>
        <rFont val="Bahnschrift Condensed"/>
        <family val="2"/>
      </rPr>
      <t>R</t>
    </r>
  </si>
  <si>
    <r>
      <t xml:space="preserve">Storage Area - </t>
    </r>
    <r>
      <rPr>
        <b/>
        <sz val="10"/>
        <rFont val="Bahnschrift Condensed"/>
        <family val="2"/>
      </rPr>
      <t>S</t>
    </r>
    <r>
      <rPr>
        <sz val="10"/>
        <rFont val="Bahnschrift Condensed"/>
        <family val="2"/>
      </rPr>
      <t xml:space="preserve"> </t>
    </r>
  </si>
  <si>
    <r>
      <t xml:space="preserve">Supply Shelf - </t>
    </r>
    <r>
      <rPr>
        <b/>
        <sz val="10"/>
        <rFont val="Bahnschrift Condensed"/>
        <family val="2"/>
      </rPr>
      <t>SS</t>
    </r>
  </si>
  <si>
    <t>CHECK TOTAL AMOUNT:</t>
  </si>
  <si>
    <t>&lt;- DISREGARD IF NEITHER HAS</t>
  </si>
  <si>
    <t>PRICE (/PIECE)</t>
  </si>
  <si>
    <t>JIA250708</t>
  </si>
  <si>
    <t>SEARCH OUTGOING</t>
  </si>
  <si>
    <t>PO #</t>
  </si>
  <si>
    <t>TOTAL AMOUNT</t>
  </si>
  <si>
    <t>PRICE / PIECE</t>
  </si>
  <si>
    <t>Salbutamol (RELAXSAPH) 200mcg/1mg Nebulizer 30's [S]</t>
  </si>
  <si>
    <t>Soluset Safeset Dosifix (BBRAUN) Supply 25's [R]</t>
  </si>
  <si>
    <t>Brand Name:</t>
  </si>
  <si>
    <t>EP-PARAFLOW</t>
  </si>
  <si>
    <t>E.P. LALAMOVE - EPL</t>
  </si>
  <si>
    <t>Paracetamol (PARAFLOW) 1g Vial 1's [EPL]</t>
  </si>
  <si>
    <t>#041826</t>
  </si>
  <si>
    <t>TIMES SOLD</t>
  </si>
  <si>
    <t>TOTAL QTY</t>
  </si>
  <si>
    <t>TOTAL SALES</t>
  </si>
  <si>
    <t>OUTGOING (TODAY)</t>
  </si>
  <si>
    <t>PO PRICE</t>
  </si>
  <si>
    <t>TOTAL SALE</t>
  </si>
  <si>
    <r>
      <t>&lt;-----------------------------------------------------click to highlight notable expiry (</t>
    </r>
    <r>
      <rPr>
        <b/>
        <i/>
        <sz val="10"/>
        <rFont val="Calibri"/>
        <family val="2"/>
        <scheme val="minor"/>
      </rPr>
      <t xml:space="preserve">QOL </t>
    </r>
    <r>
      <rPr>
        <i/>
        <sz val="10"/>
        <rFont val="Calibri"/>
        <family val="2"/>
        <scheme val="minor"/>
      </rPr>
      <t>Feature)</t>
    </r>
  </si>
  <si>
    <r>
      <t xml:space="preserve">&lt;-----------------------------------------------------"forms" the full item description for </t>
    </r>
    <r>
      <rPr>
        <b/>
        <i/>
        <u/>
        <sz val="10"/>
        <rFont val="Calibri"/>
        <family val="2"/>
        <scheme val="minor"/>
      </rPr>
      <t>Q.O.L.</t>
    </r>
    <r>
      <rPr>
        <i/>
        <sz val="10"/>
        <rFont val="Calibri"/>
        <family val="2"/>
        <scheme val="minor"/>
      </rPr>
      <t xml:space="preserve"> (GenericName+BrandName+Dosage+Count)</t>
    </r>
  </si>
  <si>
    <t>bisa</t>
  </si>
  <si>
    <t>Hyoscine (HYBID) 20mg/ml</t>
  </si>
  <si>
    <t>Dextrose (EUROMED) 50%, 50ml Bottle 20's</t>
  </si>
  <si>
    <t>Levetiracetam (MASOLEV) 100mg/ml 1's</t>
  </si>
  <si>
    <t>LUNG</t>
  </si>
  <si>
    <t>FAST MOVING (30d)</t>
  </si>
  <si>
    <t>CHRIST THE KING MEDICAL CENTER UNIHEALTH LAS PINAS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</si>
</sst>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-* #,##0_-;\-* #,##0_-;_-* &quot;-&quot;??_-;_-@_-"/>
    <numFmt numFmtId="168" formatCode="mm/yyyy"/>
    <numFmt numFmtId="169" formatCode="_-[$₱-3409]* #,##0.00_-;\-[$₱-3409]* #,##0.00_-;_-[$₱-3409]* &quot;-&quot;??_-;_-@_-"/>
    <numFmt numFmtId="170" formatCode="[$-F800]dddd\,\ mmmm\ dd\,\ yyyy"/>
    <numFmt numFmtId="171" formatCode="_(* #,##0_);_(* \(#,##0\);_(* &quot;-&quot;??_);_(@_)"/>
    <numFmt numFmtId="172" formatCode="dd/mm/yyyy\ hh:mm"/>
    <numFmt numFmtId="174" formatCode="[$-3409]mmmm\ dd\,\ yyyy;@"/>
  </numFmts>
  <fonts count="8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8"/>
      <color theme="1"/>
      <name val="Bahnschrift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name val="Bahnschrift"/>
      <family val="2"/>
    </font>
    <font>
      <i/>
      <sz val="9"/>
      <name val="Bahnschrift"/>
      <family val="2"/>
    </font>
    <font>
      <b/>
      <sz val="9"/>
      <color theme="1"/>
      <name val="Bahnschrift"/>
      <family val="2"/>
    </font>
    <font>
      <sz val="8"/>
      <name val="Calibri"/>
      <family val="2"/>
      <scheme val="minor"/>
    </font>
    <font>
      <b/>
      <sz val="11"/>
      <color theme="1"/>
      <name val="Bahnschrift Condensed"/>
      <family val="2"/>
    </font>
    <font>
      <b/>
      <sz val="12"/>
      <name val="Bahnschrift Condensed"/>
      <family val="2"/>
    </font>
    <font>
      <sz val="10"/>
      <color theme="1"/>
      <name val="Calibri"/>
      <family val="2"/>
      <scheme val="minor"/>
    </font>
    <font>
      <b/>
      <sz val="12"/>
      <color theme="0"/>
      <name val="Bahnschrift Condensed"/>
      <family val="2"/>
    </font>
    <font>
      <b/>
      <sz val="28"/>
      <color theme="0"/>
      <name val="Bahnschrift Condensed"/>
      <family val="2"/>
    </font>
    <font>
      <b/>
      <sz val="14"/>
      <color theme="1"/>
      <name val="Bahnschrift"/>
      <family val="2"/>
    </font>
    <font>
      <b/>
      <sz val="11"/>
      <color theme="0"/>
      <name val="Bahnschrift Condensed"/>
      <family val="2"/>
    </font>
    <font>
      <b/>
      <sz val="36"/>
      <color theme="0"/>
      <name val="Bahnschrift"/>
      <family val="2"/>
    </font>
    <font>
      <sz val="72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i/>
      <u/>
      <sz val="8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i/>
      <sz val="8"/>
      <color theme="0" tint="-0.14999847407452621"/>
      <name val="Calibri"/>
      <family val="2"/>
      <scheme val="minor"/>
    </font>
    <font>
      <b/>
      <sz val="36"/>
      <color theme="0" tint="-0.499984740745262"/>
      <name val="Bahnschrift Condensed"/>
      <family val="2"/>
    </font>
    <font>
      <b/>
      <sz val="8"/>
      <color theme="0" tint="-0.499984740745262"/>
      <name val="Bahnschrift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6"/>
      <name val="Bahnschrift Condensed"/>
      <family val="2"/>
    </font>
    <font>
      <b/>
      <sz val="36"/>
      <name val="Bahnschrift Condensed"/>
      <family val="2"/>
    </font>
    <font>
      <b/>
      <sz val="14"/>
      <color rgb="FF000000"/>
      <name val="Bahnschrift Condensed"/>
      <family val="2"/>
    </font>
    <font>
      <b/>
      <sz val="28"/>
      <color rgb="FF000000"/>
      <name val="Bahnschrift SemiBold Condensed"/>
      <family val="2"/>
    </font>
    <font>
      <b/>
      <sz val="16"/>
      <color rgb="FF000000"/>
      <name val="Bahnschrift SemiBold Condensed"/>
      <family val="2"/>
    </font>
    <font>
      <b/>
      <sz val="28"/>
      <color rgb="FF000000"/>
      <name val="Bahnschrift Condensed"/>
      <family val="2"/>
    </font>
    <font>
      <b/>
      <sz val="12"/>
      <color rgb="FF000000"/>
      <name val="Bahnschrift SemiBold Condensed"/>
      <family val="2"/>
    </font>
    <font>
      <b/>
      <sz val="9"/>
      <color rgb="FF000000"/>
      <name val="Bahnschrift Condensed"/>
      <family val="2"/>
    </font>
    <font>
      <b/>
      <sz val="12"/>
      <color rgb="FF000000"/>
      <name val="Bahnschrift Condensed"/>
      <family val="2"/>
    </font>
    <font>
      <b/>
      <sz val="8"/>
      <color rgb="FF000000"/>
      <name val="Bahnschrift Condensed"/>
      <family val="2"/>
    </font>
    <font>
      <b/>
      <sz val="20"/>
      <color rgb="FF000000"/>
      <name val="Bahnschrift Condensed"/>
      <family val="2"/>
    </font>
    <font>
      <b/>
      <sz val="48"/>
      <name val="Bahnschrift Condensed"/>
      <family val="2"/>
    </font>
    <font>
      <b/>
      <sz val="20"/>
      <color theme="0"/>
      <name val="Bahnschrift Condensed"/>
      <family val="2"/>
    </font>
    <font>
      <sz val="16"/>
      <color theme="1" tint="0.499984740745262"/>
      <name val="Bahnschrift Light"/>
      <family val="2"/>
    </font>
    <font>
      <sz val="11"/>
      <color theme="1" tint="0.499984740745262"/>
      <name val="Calibri"/>
      <family val="2"/>
      <scheme val="minor"/>
    </font>
    <font>
      <b/>
      <sz val="16"/>
      <color rgb="FF000000"/>
      <name val="Bahnschrift Condensed"/>
      <family val="2"/>
    </font>
    <font>
      <sz val="10"/>
      <color rgb="FF000000"/>
      <name val="Consolas"/>
      <family val="3"/>
    </font>
    <font>
      <b/>
      <sz val="8"/>
      <color theme="1"/>
      <name val="Bahnschrift Condensed"/>
      <family val="2"/>
    </font>
    <font>
      <b/>
      <sz val="8"/>
      <color theme="0"/>
      <name val="Bahnschrift SemiBold Condensed"/>
      <family val="2"/>
    </font>
    <font>
      <b/>
      <i/>
      <sz val="9"/>
      <name val="Aptos Display"/>
      <family val="2"/>
    </font>
    <font>
      <b/>
      <sz val="9"/>
      <color theme="0"/>
      <name val="Aptos Display"/>
      <family val="2"/>
    </font>
    <font>
      <b/>
      <sz val="9"/>
      <color theme="1" tint="0.34998626667073579"/>
      <name val="Aptos Display"/>
      <family val="2"/>
    </font>
    <font>
      <b/>
      <sz val="11"/>
      <color theme="0" tint="-4.9989318521683403E-2"/>
      <name val="Calibri"/>
      <family val="2"/>
      <scheme val="minor"/>
    </font>
    <font>
      <b/>
      <sz val="14"/>
      <name val="Bahnschrift Condensed"/>
      <family val="2"/>
    </font>
    <font>
      <b/>
      <sz val="8"/>
      <name val="Bahnschrift"/>
      <family val="2"/>
    </font>
    <font>
      <b/>
      <sz val="8"/>
      <color theme="0"/>
      <name val="Bahnschrift"/>
      <family val="2"/>
    </font>
    <font>
      <sz val="10"/>
      <name val="Bahnschrift Condensed"/>
      <family val="2"/>
    </font>
    <font>
      <b/>
      <sz val="10"/>
      <name val="Bahnschrift Condensed"/>
      <family val="2"/>
    </font>
    <font>
      <b/>
      <sz val="11"/>
      <color rgb="FF000000"/>
      <name val="Calibri"/>
      <family val="2"/>
      <scheme val="minor"/>
    </font>
    <font>
      <b/>
      <i/>
      <sz val="11"/>
      <color theme="0" tint="-0.249977111117893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sz val="11"/>
      <name val="Aptos Display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sz val="9"/>
      <color theme="5" tint="-0.249977111117893"/>
      <name val="Calibri"/>
      <family val="2"/>
      <scheme val="minor"/>
    </font>
    <font>
      <sz val="14"/>
      <name val="Bahnschrift Condensed"/>
      <family val="2"/>
    </font>
    <font>
      <b/>
      <sz val="18"/>
      <color rgb="FF000000"/>
      <name val="Bahnschrift Condensed"/>
      <family val="2"/>
    </font>
    <font>
      <sz val="9"/>
      <name val="Aptos Display"/>
      <family val="2"/>
    </font>
    <font>
      <b/>
      <sz val="11"/>
      <name val="Aptos Display"/>
      <family val="2"/>
    </font>
    <font>
      <b/>
      <sz val="11"/>
      <color theme="0"/>
      <name val="Aptos Display"/>
      <family val="2"/>
    </font>
    <font>
      <b/>
      <sz val="11"/>
      <color theme="1"/>
      <name val="Aptos Display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u/>
      <sz val="10"/>
      <name val="Calibri"/>
      <family val="2"/>
      <scheme val="minor"/>
    </font>
    <font>
      <b/>
      <sz val="48"/>
      <color theme="0"/>
      <name val="Bahnschrift Condensed"/>
      <family val="2"/>
    </font>
    <font>
      <b/>
      <sz val="14"/>
      <color theme="0"/>
      <name val="Bahnschrift Condensed"/>
      <family val="2"/>
    </font>
    <font>
      <b/>
      <sz val="20"/>
      <name val="Bahnschrift Condensed"/>
      <family val="2"/>
    </font>
    <font>
      <b/>
      <sz val="24"/>
      <name val="Bahnschrift Condensed"/>
      <family val="2"/>
    </font>
    <font>
      <sz val="24"/>
      <color theme="1"/>
      <name val="Bahnschrift Condensed"/>
      <family val="2"/>
    </font>
    <font>
      <b/>
      <sz val="24"/>
      <color theme="0"/>
      <name val="Bahnschrift Condensed"/>
      <family val="2"/>
    </font>
    <font>
      <sz val="9"/>
      <color theme="1" tint="0.499984740745262"/>
      <name val="Aptos Display"/>
      <family val="2"/>
    </font>
    <font>
      <sz val="11"/>
      <color theme="1" tint="0.499984740745262"/>
      <name val="Aptos Display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54B4B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DCB4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</fills>
  <borders count="9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/>
      <bottom style="thin">
        <color theme="9" tint="-0.499984740745262"/>
      </bottom>
      <diagonal/>
    </border>
    <border>
      <left style="medium">
        <color indexed="64"/>
      </left>
      <right style="thin">
        <color theme="9" tint="-0.499984740745262"/>
      </right>
      <top/>
      <bottom style="thin">
        <color theme="9" tint="-0.499984740745262"/>
      </bottom>
      <diagonal/>
    </border>
    <border>
      <left style="thin">
        <color theme="9" tint="-0.499984740745262"/>
      </left>
      <right style="medium">
        <color indexed="64"/>
      </right>
      <top/>
      <bottom style="thin">
        <color theme="9" tint="-0.499984740745262"/>
      </bottom>
      <diagonal/>
    </border>
    <border>
      <left style="medium">
        <color indexed="64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medium">
        <color indexed="64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indexed="6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/>
      <top style="thin">
        <color rgb="FF00B050"/>
      </top>
      <bottom/>
      <diagonal/>
    </border>
    <border>
      <left/>
      <right/>
      <top/>
      <bottom style="thin">
        <color rgb="FF00B05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rgb="FF00B050"/>
      </bottom>
      <diagonal/>
    </border>
    <border>
      <left/>
      <right style="medium">
        <color indexed="64"/>
      </right>
      <top/>
      <bottom style="thin">
        <color rgb="FF00B050"/>
      </bottom>
      <diagonal/>
    </border>
    <border>
      <left style="medium">
        <color indexed="64"/>
      </left>
      <right/>
      <top style="thin">
        <color rgb="FF00B050"/>
      </top>
      <bottom/>
      <diagonal/>
    </border>
    <border>
      <left/>
      <right style="medium">
        <color indexed="64"/>
      </right>
      <top style="thin">
        <color rgb="FF00B050"/>
      </top>
      <bottom/>
      <diagonal/>
    </border>
    <border>
      <left style="medium">
        <color indexed="64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medium">
        <color indexed="64"/>
      </right>
      <top style="thin">
        <color rgb="FF00B050"/>
      </top>
      <bottom style="thin">
        <color rgb="FF00B050"/>
      </bottom>
      <diagonal/>
    </border>
    <border>
      <left style="medium">
        <color indexed="64"/>
      </left>
      <right style="thin">
        <color rgb="FF00B050"/>
      </right>
      <top style="thin">
        <color rgb="FF00B050"/>
      </top>
      <bottom style="medium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medium">
        <color indexed="64"/>
      </bottom>
      <diagonal/>
    </border>
    <border>
      <left style="thin">
        <color rgb="FF00B050"/>
      </left>
      <right style="medium">
        <color indexed="64"/>
      </right>
      <top style="thin">
        <color rgb="FF00B05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9" tint="-0.499984740745262"/>
      </left>
      <right/>
      <top/>
      <bottom style="thin">
        <color theme="9" tint="-0.499984740745262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/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indexed="64"/>
      </right>
      <top/>
      <bottom style="thin">
        <color theme="9" tint="-0.249977111117893"/>
      </bottom>
      <diagonal/>
    </border>
    <border>
      <left style="medium">
        <color indexed="64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 style="thin">
        <color theme="6" tint="0.39997558519241921"/>
      </right>
      <top/>
      <bottom style="thin">
        <color theme="6" tint="0.39997558519241921"/>
      </bottom>
      <diagonal/>
    </border>
    <border>
      <left style="medium">
        <color indexed="64"/>
      </left>
      <right style="thin">
        <color theme="6" tint="0.39997558519241921"/>
      </right>
      <top/>
      <bottom style="thin">
        <color theme="6" tint="0.39997558519241921"/>
      </bottom>
      <diagonal/>
    </border>
    <border>
      <left style="thin">
        <color theme="6" tint="0.39997558519241921"/>
      </left>
      <right style="medium">
        <color indexed="64"/>
      </right>
      <top/>
      <bottom style="thin">
        <color theme="6" tint="0.39997558519241921"/>
      </bottom>
      <diagonal/>
    </border>
    <border>
      <left style="medium">
        <color indexed="64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 style="medium">
        <color indexed="64"/>
      </right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 style="thin">
        <color theme="6" tint="-0.249977111117893"/>
      </right>
      <top style="thin">
        <color theme="6" tint="-0.249977111117893"/>
      </top>
      <bottom style="thin">
        <color theme="6" tint="-0.249977111117893"/>
      </bottom>
      <diagonal/>
    </border>
    <border>
      <left style="thin">
        <color theme="6" tint="-0.249977111117893"/>
      </left>
      <right style="medium">
        <color indexed="64"/>
      </right>
      <top style="thin">
        <color theme="6" tint="-0.249977111117893"/>
      </top>
      <bottom style="thin">
        <color theme="6" tint="-0.249977111117893"/>
      </bottom>
      <diagonal/>
    </border>
    <border>
      <left style="medium">
        <color indexed="64"/>
      </left>
      <right style="thin">
        <color theme="6" tint="-0.249977111117893"/>
      </right>
      <top/>
      <bottom style="thin">
        <color theme="6" tint="-0.249977111117893"/>
      </bottom>
      <diagonal/>
    </border>
    <border>
      <left style="thin">
        <color theme="6" tint="-0.249977111117893"/>
      </left>
      <right style="medium">
        <color indexed="64"/>
      </right>
      <top/>
      <bottom style="thin">
        <color theme="6" tint="-0.249977111117893"/>
      </bottom>
      <diagonal/>
    </border>
  </borders>
  <cellStyleXfs count="3">
    <xf numFmtId="0" fontId="0" fillId="0" borderId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</cellStyleXfs>
  <cellXfs count="446">
    <xf numFmtId="0" fontId="0" fillId="0" borderId="0" xfId="0"/>
    <xf numFmtId="0" fontId="0" fillId="0" borderId="0" xfId="0" applyAlignment="1">
      <alignment vertical="center"/>
    </xf>
    <xf numFmtId="0" fontId="7" fillId="0" borderId="0" xfId="0" applyFont="1"/>
    <xf numFmtId="0" fontId="0" fillId="0" borderId="13" xfId="0" applyBorder="1" applyAlignment="1">
      <alignment horizontal="center"/>
    </xf>
    <xf numFmtId="0" fontId="13" fillId="0" borderId="0" xfId="0" applyFont="1" applyAlignment="1">
      <alignment vertic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0" fillId="5" borderId="9" xfId="0" applyFill="1" applyBorder="1" applyAlignment="1">
      <alignment vertical="center"/>
    </xf>
    <xf numFmtId="0" fontId="0" fillId="5" borderId="11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21" fillId="0" borderId="15" xfId="0" applyFont="1" applyBorder="1" applyAlignment="1">
      <alignment horizontal="center" vertical="center"/>
    </xf>
    <xf numFmtId="0" fontId="20" fillId="4" borderId="10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1" fillId="2" borderId="7" xfId="0" applyFont="1" applyFill="1" applyBorder="1" applyAlignment="1">
      <alignment horizontal="center"/>
    </xf>
    <xf numFmtId="169" fontId="7" fillId="0" borderId="36" xfId="1" applyNumberFormat="1" applyFont="1" applyFill="1" applyBorder="1" applyAlignment="1">
      <alignment horizontal="center" vertical="center"/>
    </xf>
    <xf numFmtId="169" fontId="5" fillId="0" borderId="35" xfId="1" applyNumberFormat="1" applyFont="1" applyFill="1" applyBorder="1" applyAlignment="1">
      <alignment horizontal="center" vertical="center"/>
    </xf>
    <xf numFmtId="169" fontId="8" fillId="0" borderId="35" xfId="1" applyNumberFormat="1" applyFont="1" applyFill="1" applyBorder="1" applyAlignment="1">
      <alignment horizontal="center" vertical="center"/>
    </xf>
    <xf numFmtId="0" fontId="0" fillId="5" borderId="3" xfId="0" applyFill="1" applyBorder="1" applyAlignment="1">
      <alignment vertical="center"/>
    </xf>
    <xf numFmtId="0" fontId="9" fillId="3" borderId="38" xfId="0" applyFont="1" applyFill="1" applyBorder="1" applyAlignment="1">
      <alignment vertical="center"/>
    </xf>
    <xf numFmtId="0" fontId="11" fillId="3" borderId="23" xfId="0" applyFont="1" applyFill="1" applyBorder="1" applyAlignment="1">
      <alignment vertical="center"/>
    </xf>
    <xf numFmtId="0" fontId="18" fillId="3" borderId="24" xfId="0" applyFont="1" applyFill="1" applyBorder="1" applyAlignment="1">
      <alignment vertical="center"/>
    </xf>
    <xf numFmtId="0" fontId="11" fillId="3" borderId="39" xfId="0" applyFont="1" applyFill="1" applyBorder="1" applyAlignment="1">
      <alignment vertical="center"/>
    </xf>
    <xf numFmtId="0" fontId="15" fillId="0" borderId="13" xfId="0" applyFont="1" applyBorder="1" applyAlignment="1">
      <alignment horizontal="left" vertical="center" wrapText="1"/>
    </xf>
    <xf numFmtId="0" fontId="30" fillId="12" borderId="40" xfId="0" applyFont="1" applyFill="1" applyBorder="1" applyAlignment="1">
      <alignment vertical="center"/>
    </xf>
    <xf numFmtId="0" fontId="31" fillId="12" borderId="40" xfId="0" applyFont="1" applyFill="1" applyBorder="1" applyAlignment="1">
      <alignment horizontal="left" vertical="center"/>
    </xf>
    <xf numFmtId="0" fontId="23" fillId="12" borderId="43" xfId="0" applyFont="1" applyFill="1" applyBorder="1" applyAlignment="1">
      <alignment vertical="center"/>
    </xf>
    <xf numFmtId="0" fontId="29" fillId="12" borderId="44" xfId="0" applyFont="1" applyFill="1" applyBorder="1" applyAlignment="1">
      <alignment horizontal="left" vertical="center"/>
    </xf>
    <xf numFmtId="0" fontId="29" fillId="12" borderId="44" xfId="0" applyFont="1" applyFill="1" applyBorder="1" applyAlignment="1">
      <alignment horizontal="right" vertical="center"/>
    </xf>
    <xf numFmtId="0" fontId="30" fillId="12" borderId="45" xfId="0" applyFont="1" applyFill="1" applyBorder="1" applyAlignment="1">
      <alignment vertical="center"/>
    </xf>
    <xf numFmtId="0" fontId="29" fillId="12" borderId="46" xfId="0" applyFont="1" applyFill="1" applyBorder="1" applyAlignment="1">
      <alignment horizontal="right" vertical="center"/>
    </xf>
    <xf numFmtId="164" fontId="31" fillId="12" borderId="47" xfId="0" applyNumberFormat="1" applyFont="1" applyFill="1" applyBorder="1" applyAlignment="1">
      <alignment horizontal="left" vertical="center"/>
    </xf>
    <xf numFmtId="0" fontId="30" fillId="12" borderId="48" xfId="0" applyFont="1" applyFill="1" applyBorder="1" applyAlignment="1">
      <alignment vertical="center"/>
    </xf>
    <xf numFmtId="169" fontId="7" fillId="0" borderId="0" xfId="1" applyNumberFormat="1" applyFont="1" applyBorder="1" applyAlignment="1">
      <alignment horizontal="center" vertical="center"/>
    </xf>
    <xf numFmtId="0" fontId="32" fillId="13" borderId="7" xfId="0" applyFont="1" applyFill="1" applyBorder="1" applyAlignment="1">
      <alignment horizontal="right" vertical="center"/>
    </xf>
    <xf numFmtId="174" fontId="0" fillId="0" borderId="11" xfId="0" applyNumberFormat="1" applyBorder="1" applyAlignment="1">
      <alignment horizontal="center" vertical="center"/>
    </xf>
    <xf numFmtId="0" fontId="44" fillId="15" borderId="7" xfId="0" applyFont="1" applyFill="1" applyBorder="1" applyAlignment="1">
      <alignment horizontal="right" vertical="center"/>
    </xf>
    <xf numFmtId="0" fontId="46" fillId="0" borderId="11" xfId="0" applyFont="1" applyBorder="1" applyAlignment="1">
      <alignment horizontal="left" vertical="center"/>
    </xf>
    <xf numFmtId="0" fontId="46" fillId="0" borderId="0" xfId="0" applyFont="1" applyAlignment="1">
      <alignment horizontal="center" vertical="center"/>
    </xf>
    <xf numFmtId="168" fontId="46" fillId="0" borderId="0" xfId="0" applyNumberFormat="1" applyFont="1" applyAlignment="1">
      <alignment horizontal="center" vertical="center"/>
    </xf>
    <xf numFmtId="1" fontId="46" fillId="0" borderId="0" xfId="1" applyNumberFormat="1" applyFont="1" applyBorder="1" applyAlignment="1">
      <alignment horizontal="center" vertical="center"/>
    </xf>
    <xf numFmtId="0" fontId="16" fillId="17" borderId="7" xfId="0" applyFont="1" applyFill="1" applyBorder="1" applyAlignment="1">
      <alignment horizontal="center" vertical="center"/>
    </xf>
    <xf numFmtId="49" fontId="16" fillId="17" borderId="7" xfId="0" applyNumberFormat="1" applyFont="1" applyFill="1" applyBorder="1" applyAlignment="1">
      <alignment horizontal="center" vertical="center"/>
    </xf>
    <xf numFmtId="168" fontId="16" fillId="17" borderId="7" xfId="0" applyNumberFormat="1" applyFont="1" applyFill="1" applyBorder="1" applyAlignment="1">
      <alignment horizontal="center" vertical="center"/>
    </xf>
    <xf numFmtId="0" fontId="16" fillId="10" borderId="7" xfId="0" applyFont="1" applyFill="1" applyBorder="1" applyAlignment="1">
      <alignment horizontal="center" vertical="center"/>
    </xf>
    <xf numFmtId="49" fontId="16" fillId="10" borderId="7" xfId="0" applyNumberFormat="1" applyFont="1" applyFill="1" applyBorder="1" applyAlignment="1">
      <alignment horizontal="center" vertical="center"/>
    </xf>
    <xf numFmtId="168" fontId="16" fillId="10" borderId="7" xfId="0" applyNumberFormat="1" applyFont="1" applyFill="1" applyBorder="1" applyAlignment="1">
      <alignment horizontal="center" vertical="center"/>
    </xf>
    <xf numFmtId="169" fontId="16" fillId="10" borderId="7" xfId="1" applyNumberFormat="1" applyFont="1" applyFill="1" applyBorder="1" applyAlignment="1">
      <alignment horizontal="center" vertical="center"/>
    </xf>
    <xf numFmtId="170" fontId="16" fillId="10" borderId="7" xfId="0" applyNumberFormat="1" applyFont="1" applyFill="1" applyBorder="1" applyAlignment="1">
      <alignment horizontal="center" vertical="center"/>
    </xf>
    <xf numFmtId="169" fontId="8" fillId="0" borderId="36" xfId="1" applyNumberFormat="1" applyFont="1" applyFill="1" applyBorder="1" applyAlignment="1">
      <alignment horizontal="center" vertical="center"/>
    </xf>
    <xf numFmtId="169" fontId="5" fillId="0" borderId="35" xfId="1" applyNumberFormat="1" applyFont="1" applyFill="1" applyBorder="1" applyAlignment="1">
      <alignment horizontal="center" vertical="center" wrapText="1"/>
    </xf>
    <xf numFmtId="167" fontId="8" fillId="0" borderId="17" xfId="2" applyNumberFormat="1" applyFont="1" applyFill="1" applyBorder="1" applyAlignment="1">
      <alignment horizontal="center" vertical="center"/>
    </xf>
    <xf numFmtId="49" fontId="46" fillId="0" borderId="0" xfId="0" applyNumberFormat="1" applyFont="1" applyAlignment="1">
      <alignment horizontal="left" vertical="center"/>
    </xf>
    <xf numFmtId="14" fontId="0" fillId="0" borderId="13" xfId="0" applyNumberFormat="1" applyBorder="1" applyAlignment="1">
      <alignment horizontal="left" vertical="center"/>
    </xf>
    <xf numFmtId="168" fontId="0" fillId="0" borderId="13" xfId="0" applyNumberFormat="1" applyBorder="1" applyAlignment="1">
      <alignment horizontal="left"/>
    </xf>
    <xf numFmtId="49" fontId="4" fillId="0" borderId="13" xfId="2" applyNumberFormat="1" applyFont="1" applyBorder="1" applyAlignment="1">
      <alignment horizontal="left" vertical="center"/>
    </xf>
    <xf numFmtId="169" fontId="0" fillId="0" borderId="14" xfId="1" applyNumberFormat="1" applyFont="1" applyBorder="1" applyAlignment="1">
      <alignment horizontal="left" vertical="center"/>
    </xf>
    <xf numFmtId="0" fontId="24" fillId="5" borderId="2" xfId="0" applyFont="1" applyFill="1" applyBorder="1" applyAlignment="1">
      <alignment vertical="center"/>
    </xf>
    <xf numFmtId="0" fontId="0" fillId="5" borderId="0" xfId="0" applyFill="1"/>
    <xf numFmtId="0" fontId="0" fillId="5" borderId="2" xfId="0" applyFill="1" applyBorder="1"/>
    <xf numFmtId="0" fontId="26" fillId="5" borderId="0" xfId="0" applyFont="1" applyFill="1" applyAlignment="1">
      <alignment vertical="center"/>
    </xf>
    <xf numFmtId="0" fontId="24" fillId="5" borderId="0" xfId="0" applyFont="1" applyFill="1" applyAlignment="1">
      <alignment vertical="center"/>
    </xf>
    <xf numFmtId="0" fontId="26" fillId="5" borderId="0" xfId="0" applyFont="1" applyFill="1" applyAlignment="1">
      <alignment horizontal="center" vertical="center"/>
    </xf>
    <xf numFmtId="0" fontId="27" fillId="5" borderId="0" xfId="0" applyFont="1" applyFill="1" applyAlignment="1">
      <alignment vertical="center"/>
    </xf>
    <xf numFmtId="0" fontId="24" fillId="5" borderId="0" xfId="0" applyFont="1" applyFill="1" applyAlignment="1">
      <alignment horizontal="left" vertical="center"/>
    </xf>
    <xf numFmtId="0" fontId="0" fillId="5" borderId="0" xfId="0" applyFill="1" applyAlignment="1">
      <alignment vertical="center"/>
    </xf>
    <xf numFmtId="0" fontId="1" fillId="5" borderId="0" xfId="0" applyFont="1" applyFill="1" applyAlignment="1">
      <alignment vertical="center"/>
    </xf>
    <xf numFmtId="0" fontId="0" fillId="5" borderId="5" xfId="0" applyFill="1" applyBorder="1"/>
    <xf numFmtId="0" fontId="49" fillId="5" borderId="0" xfId="0" applyFont="1" applyFill="1" applyAlignment="1">
      <alignment horizontal="left" wrapText="1"/>
    </xf>
    <xf numFmtId="0" fontId="0" fillId="11" borderId="13" xfId="0" applyFill="1" applyBorder="1" applyAlignment="1">
      <alignment vertical="center"/>
    </xf>
    <xf numFmtId="0" fontId="0" fillId="11" borderId="14" xfId="0" applyFill="1" applyBorder="1" applyAlignment="1">
      <alignment vertical="center"/>
    </xf>
    <xf numFmtId="0" fontId="6" fillId="3" borderId="72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73" xfId="0" applyFont="1" applyFill="1" applyBorder="1" applyAlignment="1">
      <alignment horizontal="left" vertical="center"/>
    </xf>
    <xf numFmtId="0" fontId="50" fillId="11" borderId="7" xfId="0" applyFont="1" applyFill="1" applyBorder="1" applyAlignment="1">
      <alignment horizontal="right" vertical="center"/>
    </xf>
    <xf numFmtId="169" fontId="51" fillId="5" borderId="14" xfId="1" applyNumberFormat="1" applyFont="1" applyFill="1" applyBorder="1" applyAlignment="1">
      <alignment horizontal="left" vertical="center"/>
    </xf>
    <xf numFmtId="0" fontId="53" fillId="0" borderId="71" xfId="0" applyFont="1" applyBorder="1" applyAlignment="1">
      <alignment horizontal="left"/>
    </xf>
    <xf numFmtId="9" fontId="53" fillId="0" borderId="9" xfId="0" applyNumberFormat="1" applyFont="1" applyBorder="1" applyAlignment="1">
      <alignment horizontal="left" vertical="center"/>
    </xf>
    <xf numFmtId="49" fontId="53" fillId="0" borderId="9" xfId="0" applyNumberFormat="1" applyFont="1" applyBorder="1" applyAlignment="1">
      <alignment horizontal="left" vertical="center"/>
    </xf>
    <xf numFmtId="0" fontId="53" fillId="0" borderId="9" xfId="0" applyFont="1" applyBorder="1" applyAlignment="1">
      <alignment horizontal="left" vertical="center"/>
    </xf>
    <xf numFmtId="49" fontId="53" fillId="0" borderId="9" xfId="2" applyNumberFormat="1" applyFont="1" applyBorder="1" applyAlignment="1">
      <alignment horizontal="left" vertical="center"/>
    </xf>
    <xf numFmtId="168" fontId="53" fillId="0" borderId="9" xfId="2" applyNumberFormat="1" applyFont="1" applyBorder="1" applyAlignment="1">
      <alignment horizontal="left" vertical="center"/>
    </xf>
    <xf numFmtId="169" fontId="54" fillId="11" borderId="7" xfId="1" applyNumberFormat="1" applyFont="1" applyFill="1" applyBorder="1"/>
    <xf numFmtId="1" fontId="16" fillId="17" borderId="10" xfId="1" applyNumberFormat="1" applyFont="1" applyFill="1" applyBorder="1" applyAlignment="1">
      <alignment horizontal="center" vertical="center"/>
    </xf>
    <xf numFmtId="170" fontId="16" fillId="20" borderId="7" xfId="0" applyNumberFormat="1" applyFont="1" applyFill="1" applyBorder="1" applyAlignment="1">
      <alignment horizontal="center" vertical="center"/>
    </xf>
    <xf numFmtId="0" fontId="16" fillId="20" borderId="10" xfId="0" applyFont="1" applyFill="1" applyBorder="1" applyAlignment="1">
      <alignment horizontal="center" vertical="center"/>
    </xf>
    <xf numFmtId="0" fontId="16" fillId="24" borderId="7" xfId="0" applyFont="1" applyFill="1" applyBorder="1" applyAlignment="1">
      <alignment horizontal="center" vertical="center"/>
    </xf>
    <xf numFmtId="172" fontId="0" fillId="23" borderId="52" xfId="0" applyNumberFormat="1" applyFill="1" applyBorder="1" applyAlignment="1">
      <alignment horizontal="left" vertical="center"/>
    </xf>
    <xf numFmtId="172" fontId="0" fillId="23" borderId="54" xfId="0" applyNumberFormat="1" applyFill="1" applyBorder="1" applyAlignment="1">
      <alignment horizontal="left" vertical="center"/>
    </xf>
    <xf numFmtId="170" fontId="0" fillId="23" borderId="54" xfId="0" applyNumberFormat="1" applyFill="1" applyBorder="1" applyAlignment="1">
      <alignment horizontal="left" vertical="center"/>
    </xf>
    <xf numFmtId="17" fontId="0" fillId="23" borderId="74" xfId="0" applyNumberFormat="1" applyFill="1" applyBorder="1" applyAlignment="1">
      <alignment horizontal="center"/>
    </xf>
    <xf numFmtId="17" fontId="0" fillId="23" borderId="75" xfId="0" applyNumberFormat="1" applyFill="1" applyBorder="1" applyAlignment="1">
      <alignment horizontal="center"/>
    </xf>
    <xf numFmtId="0" fontId="0" fillId="23" borderId="75" xfId="0" applyFill="1" applyBorder="1" applyAlignment="1">
      <alignment horizontal="center"/>
    </xf>
    <xf numFmtId="11" fontId="46" fillId="0" borderId="0" xfId="0" applyNumberFormat="1" applyFont="1" applyAlignment="1">
      <alignment horizontal="center" vertical="center"/>
    </xf>
    <xf numFmtId="0" fontId="16" fillId="4" borderId="7" xfId="0" applyFont="1" applyFill="1" applyBorder="1" applyAlignment="1">
      <alignment horizontal="center" vertical="center"/>
    </xf>
    <xf numFmtId="17" fontId="2" fillId="19" borderId="78" xfId="0" applyNumberFormat="1" applyFont="1" applyFill="1" applyBorder="1" applyAlignment="1">
      <alignment horizontal="center"/>
    </xf>
    <xf numFmtId="17" fontId="2" fillId="19" borderId="80" xfId="0" applyNumberFormat="1" applyFont="1" applyFill="1" applyBorder="1" applyAlignment="1">
      <alignment horizontal="center"/>
    </xf>
    <xf numFmtId="0" fontId="2" fillId="19" borderId="56" xfId="0" applyFont="1" applyFill="1" applyBorder="1" applyAlignment="1">
      <alignment horizontal="center"/>
    </xf>
    <xf numFmtId="0" fontId="2" fillId="19" borderId="80" xfId="0" applyFont="1" applyFill="1" applyBorder="1" applyAlignment="1">
      <alignment horizontal="center"/>
    </xf>
    <xf numFmtId="0" fontId="7" fillId="0" borderId="9" xfId="0" applyFont="1" applyBorder="1"/>
    <xf numFmtId="49" fontId="4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2" fontId="46" fillId="0" borderId="0" xfId="0" applyNumberFormat="1" applyFont="1" applyAlignment="1">
      <alignment horizontal="center" vertical="center"/>
    </xf>
    <xf numFmtId="170" fontId="46" fillId="0" borderId="0" xfId="0" applyNumberFormat="1" applyFont="1" applyAlignment="1">
      <alignment horizontal="center" vertical="center"/>
    </xf>
    <xf numFmtId="170" fontId="16" fillId="10" borderId="10" xfId="0" applyNumberFormat="1" applyFont="1" applyFill="1" applyBorder="1" applyAlignment="1">
      <alignment horizontal="center" vertical="center"/>
    </xf>
    <xf numFmtId="0" fontId="2" fillId="25" borderId="7" xfId="0" applyFont="1" applyFill="1" applyBorder="1"/>
    <xf numFmtId="171" fontId="16" fillId="24" borderId="7" xfId="2" applyNumberFormat="1" applyFont="1" applyFill="1" applyBorder="1" applyAlignment="1">
      <alignment horizontal="center" vertical="center"/>
    </xf>
    <xf numFmtId="171" fontId="16" fillId="17" borderId="10" xfId="2" applyNumberFormat="1" applyFont="1" applyFill="1" applyBorder="1" applyAlignment="1">
      <alignment horizontal="center" vertical="center"/>
    </xf>
    <xf numFmtId="171" fontId="46" fillId="0" borderId="0" xfId="2" applyNumberFormat="1" applyFont="1" applyBorder="1" applyAlignment="1">
      <alignment horizontal="center" vertical="center"/>
    </xf>
    <xf numFmtId="0" fontId="56" fillId="3" borderId="39" xfId="0" applyFont="1" applyFill="1" applyBorder="1" applyAlignment="1">
      <alignment horizontal="left" vertical="center"/>
    </xf>
    <xf numFmtId="169" fontId="53" fillId="0" borderId="9" xfId="1" applyNumberFormat="1" applyFont="1" applyFill="1" applyBorder="1" applyAlignment="1">
      <alignment horizontal="left" vertical="center"/>
    </xf>
    <xf numFmtId="0" fontId="6" fillId="3" borderId="81" xfId="0" applyFont="1" applyFill="1" applyBorder="1" applyAlignment="1">
      <alignment horizontal="left" vertical="center"/>
    </xf>
    <xf numFmtId="0" fontId="53" fillId="0" borderId="13" xfId="0" applyFont="1" applyBorder="1" applyAlignment="1">
      <alignment vertical="center"/>
    </xf>
    <xf numFmtId="0" fontId="52" fillId="11" borderId="15" xfId="0" applyFont="1" applyFill="1" applyBorder="1" applyAlignment="1">
      <alignment horizontal="left" vertical="center"/>
    </xf>
    <xf numFmtId="0" fontId="57" fillId="11" borderId="7" xfId="0" applyFont="1" applyFill="1" applyBorder="1" applyAlignment="1">
      <alignment horizontal="left" vertical="center"/>
    </xf>
    <xf numFmtId="0" fontId="58" fillId="5" borderId="13" xfId="0" applyFont="1" applyFill="1" applyBorder="1" applyAlignment="1">
      <alignment horizontal="left" vertical="center" wrapText="1"/>
    </xf>
    <xf numFmtId="0" fontId="58" fillId="5" borderId="14" xfId="0" applyFont="1" applyFill="1" applyBorder="1" applyAlignment="1">
      <alignment horizontal="left" vertical="center" wrapText="1"/>
    </xf>
    <xf numFmtId="0" fontId="58" fillId="5" borderId="12" xfId="0" applyFont="1" applyFill="1" applyBorder="1" applyAlignment="1">
      <alignment horizontal="left" vertical="center" wrapText="1"/>
    </xf>
    <xf numFmtId="0" fontId="61" fillId="0" borderId="14" xfId="0" applyFont="1" applyBorder="1" applyAlignment="1">
      <alignment vertical="center"/>
    </xf>
    <xf numFmtId="0" fontId="62" fillId="5" borderId="0" xfId="0" applyFont="1" applyFill="1" applyAlignment="1">
      <alignment vertical="center"/>
    </xf>
    <xf numFmtId="0" fontId="19" fillId="29" borderId="7" xfId="0" applyFont="1" applyFill="1" applyBorder="1" applyAlignment="1">
      <alignment horizontal="center" vertical="center"/>
    </xf>
    <xf numFmtId="14" fontId="64" fillId="28" borderId="84" xfId="0" applyNumberFormat="1" applyFont="1" applyFill="1" applyBorder="1" applyAlignment="1">
      <alignment horizontal="center" vertical="center"/>
    </xf>
    <xf numFmtId="14" fontId="64" fillId="28" borderId="86" xfId="0" applyNumberFormat="1" applyFont="1" applyFill="1" applyBorder="1" applyAlignment="1">
      <alignment horizontal="center" vertical="center"/>
    </xf>
    <xf numFmtId="0" fontId="16" fillId="24" borderId="21" xfId="0" applyFont="1" applyFill="1" applyBorder="1" applyAlignment="1">
      <alignment horizontal="center" vertical="center"/>
    </xf>
    <xf numFmtId="0" fontId="55" fillId="5" borderId="7" xfId="0" applyFont="1" applyFill="1" applyBorder="1" applyAlignment="1">
      <alignment horizontal="left" vertical="center" wrapText="1"/>
    </xf>
    <xf numFmtId="0" fontId="58" fillId="5" borderId="13" xfId="0" applyFont="1" applyFill="1" applyBorder="1" applyAlignment="1">
      <alignment vertical="center" wrapText="1"/>
    </xf>
    <xf numFmtId="0" fontId="58" fillId="5" borderId="14" xfId="0" applyFont="1" applyFill="1" applyBorder="1" applyAlignment="1">
      <alignment vertical="center" wrapText="1"/>
    </xf>
    <xf numFmtId="167" fontId="8" fillId="0" borderId="22" xfId="2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167" fontId="8" fillId="0" borderId="26" xfId="2" applyNumberFormat="1" applyFont="1" applyFill="1" applyBorder="1" applyAlignment="1">
      <alignment horizontal="center" vertical="center"/>
    </xf>
    <xf numFmtId="167" fontId="8" fillId="0" borderId="29" xfId="2" applyNumberFormat="1" applyFont="1" applyFill="1" applyBorder="1" applyAlignment="1">
      <alignment horizontal="center" vertical="center"/>
    </xf>
    <xf numFmtId="167" fontId="8" fillId="0" borderId="0" xfId="2" applyNumberFormat="1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49" fontId="16" fillId="4" borderId="7" xfId="0" applyNumberFormat="1" applyFont="1" applyFill="1" applyBorder="1" applyAlignment="1">
      <alignment horizontal="center" vertical="center"/>
    </xf>
    <xf numFmtId="49" fontId="2" fillId="19" borderId="79" xfId="0" applyNumberFormat="1" applyFont="1" applyFill="1" applyBorder="1" applyAlignment="1">
      <alignment horizontal="center"/>
    </xf>
    <xf numFmtId="49" fontId="2" fillId="19" borderId="57" xfId="0" applyNumberFormat="1" applyFont="1" applyFill="1" applyBorder="1" applyAlignment="1">
      <alignment horizontal="center"/>
    </xf>
    <xf numFmtId="0" fontId="2" fillId="21" borderId="76" xfId="0" applyFont="1" applyFill="1" applyBorder="1" applyAlignment="1">
      <alignment horizontal="center"/>
    </xf>
    <xf numFmtId="17" fontId="2" fillId="21" borderId="51" xfId="0" applyNumberFormat="1" applyFont="1" applyFill="1" applyBorder="1" applyAlignment="1">
      <alignment horizontal="center"/>
    </xf>
    <xf numFmtId="171" fontId="2" fillId="21" borderId="74" xfId="2" applyNumberFormat="1" applyFont="1" applyFill="1" applyBorder="1" applyAlignment="1">
      <alignment horizontal="center"/>
    </xf>
    <xf numFmtId="0" fontId="2" fillId="21" borderId="53" xfId="0" applyFont="1" applyFill="1" applyBorder="1" applyAlignment="1">
      <alignment horizontal="center"/>
    </xf>
    <xf numFmtId="0" fontId="2" fillId="21" borderId="77" xfId="0" applyFont="1" applyFill="1" applyBorder="1" applyAlignment="1">
      <alignment horizontal="center"/>
    </xf>
    <xf numFmtId="171" fontId="2" fillId="21" borderId="75" xfId="2" applyNumberFormat="1" applyFont="1" applyFill="1" applyBorder="1" applyAlignment="1">
      <alignment horizontal="center"/>
    </xf>
    <xf numFmtId="0" fontId="2" fillId="21" borderId="55" xfId="0" applyFont="1" applyFill="1" applyBorder="1" applyAlignment="1">
      <alignment horizontal="center"/>
    </xf>
    <xf numFmtId="0" fontId="2" fillId="21" borderId="51" xfId="0" applyFont="1" applyFill="1" applyBorder="1" applyAlignment="1">
      <alignment horizontal="center"/>
    </xf>
    <xf numFmtId="0" fontId="2" fillId="21" borderId="50" xfId="0" applyFont="1" applyFill="1" applyBorder="1" applyAlignment="1">
      <alignment horizontal="center"/>
    </xf>
    <xf numFmtId="0" fontId="8" fillId="30" borderId="16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left" vertical="center"/>
    </xf>
    <xf numFmtId="49" fontId="8" fillId="30" borderId="16" xfId="0" applyNumberFormat="1" applyFont="1" applyFill="1" applyBorder="1" applyAlignment="1">
      <alignment horizontal="center" vertical="center"/>
    </xf>
    <xf numFmtId="167" fontId="8" fillId="30" borderId="17" xfId="2" applyNumberFormat="1" applyFont="1" applyFill="1" applyBorder="1" applyAlignment="1">
      <alignment horizontal="center" vertical="center"/>
    </xf>
    <xf numFmtId="169" fontId="5" fillId="30" borderId="35" xfId="1" applyNumberFormat="1" applyFont="1" applyFill="1" applyBorder="1" applyAlignment="1">
      <alignment horizontal="center" vertical="center"/>
    </xf>
    <xf numFmtId="168" fontId="8" fillId="30" borderId="32" xfId="0" applyNumberFormat="1" applyFont="1" applyFill="1" applyBorder="1" applyAlignment="1">
      <alignment horizontal="center" vertical="center"/>
    </xf>
    <xf numFmtId="0" fontId="8" fillId="30" borderId="17" xfId="0" applyFont="1" applyFill="1" applyBorder="1" applyAlignment="1">
      <alignment horizontal="center" vertical="center"/>
    </xf>
    <xf numFmtId="49" fontId="8" fillId="30" borderId="18" xfId="0" applyNumberFormat="1" applyFont="1" applyFill="1" applyBorder="1" applyAlignment="1">
      <alignment horizontal="left" vertical="center"/>
    </xf>
    <xf numFmtId="49" fontId="60" fillId="30" borderId="16" xfId="0" applyNumberFormat="1" applyFont="1" applyFill="1" applyBorder="1" applyAlignment="1">
      <alignment horizontal="center" vertical="center"/>
    </xf>
    <xf numFmtId="169" fontId="8" fillId="30" borderId="36" xfId="1" applyNumberFormat="1" applyFont="1" applyFill="1" applyBorder="1" applyAlignment="1">
      <alignment horizontal="center" vertical="center"/>
    </xf>
    <xf numFmtId="170" fontId="8" fillId="30" borderId="32" xfId="0" applyNumberFormat="1" applyFont="1" applyFill="1" applyBorder="1" applyAlignment="1">
      <alignment horizontal="center" vertical="center"/>
    </xf>
    <xf numFmtId="170" fontId="8" fillId="30" borderId="17" xfId="0" applyNumberFormat="1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30" borderId="0" xfId="0" applyFont="1" applyFill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1" borderId="16" xfId="0" applyFont="1" applyFill="1" applyBorder="1" applyAlignment="1">
      <alignment horizontal="center" vertical="center"/>
    </xf>
    <xf numFmtId="0" fontId="8" fillId="31" borderId="16" xfId="0" applyFont="1" applyFill="1" applyBorder="1" applyAlignment="1">
      <alignment horizontal="left" vertical="center"/>
    </xf>
    <xf numFmtId="49" fontId="8" fillId="31" borderId="16" xfId="0" applyNumberFormat="1" applyFont="1" applyFill="1" applyBorder="1" applyAlignment="1">
      <alignment horizontal="center" vertical="center"/>
    </xf>
    <xf numFmtId="167" fontId="8" fillId="31" borderId="17" xfId="2" applyNumberFormat="1" applyFont="1" applyFill="1" applyBorder="1" applyAlignment="1">
      <alignment horizontal="center" vertical="center"/>
    </xf>
    <xf numFmtId="169" fontId="5" fillId="31" borderId="35" xfId="1" applyNumberFormat="1" applyFont="1" applyFill="1" applyBorder="1" applyAlignment="1">
      <alignment horizontal="center" vertical="center"/>
    </xf>
    <xf numFmtId="168" fontId="8" fillId="31" borderId="32" xfId="0" applyNumberFormat="1" applyFont="1" applyFill="1" applyBorder="1" applyAlignment="1">
      <alignment horizontal="center" vertical="center"/>
    </xf>
    <xf numFmtId="0" fontId="8" fillId="31" borderId="17" xfId="0" applyFont="1" applyFill="1" applyBorder="1" applyAlignment="1">
      <alignment horizontal="center" vertical="center"/>
    </xf>
    <xf numFmtId="49" fontId="8" fillId="31" borderId="18" xfId="0" applyNumberFormat="1" applyFont="1" applyFill="1" applyBorder="1" applyAlignment="1">
      <alignment horizontal="left" vertical="center"/>
    </xf>
    <xf numFmtId="49" fontId="60" fillId="31" borderId="16" xfId="0" applyNumberFormat="1" applyFont="1" applyFill="1" applyBorder="1" applyAlignment="1">
      <alignment horizontal="center" vertical="center"/>
    </xf>
    <xf numFmtId="169" fontId="8" fillId="31" borderId="36" xfId="1" applyNumberFormat="1" applyFont="1" applyFill="1" applyBorder="1" applyAlignment="1">
      <alignment horizontal="center" vertical="center"/>
    </xf>
    <xf numFmtId="170" fontId="8" fillId="31" borderId="32" xfId="0" applyNumberFormat="1" applyFont="1" applyFill="1" applyBorder="1" applyAlignment="1">
      <alignment horizontal="center" vertical="center"/>
    </xf>
    <xf numFmtId="170" fontId="8" fillId="31" borderId="17" xfId="0" applyNumberFormat="1" applyFont="1" applyFill="1" applyBorder="1" applyAlignment="1">
      <alignment horizontal="center" vertical="center"/>
    </xf>
    <xf numFmtId="0" fontId="8" fillId="31" borderId="11" xfId="0" applyFont="1" applyFill="1" applyBorder="1" applyAlignment="1">
      <alignment horizontal="center" vertical="center"/>
    </xf>
    <xf numFmtId="0" fontId="8" fillId="31" borderId="0" xfId="0" applyFont="1" applyFill="1" applyAlignment="1">
      <alignment horizontal="center" vertical="center"/>
    </xf>
    <xf numFmtId="0" fontId="8" fillId="31" borderId="13" xfId="0" applyFont="1" applyFill="1" applyBorder="1" applyAlignment="1">
      <alignment horizontal="center" vertical="center"/>
    </xf>
    <xf numFmtId="169" fontId="8" fillId="30" borderId="35" xfId="1" applyNumberFormat="1" applyFont="1" applyFill="1" applyBorder="1" applyAlignment="1">
      <alignment horizontal="center" vertical="center"/>
    </xf>
    <xf numFmtId="169" fontId="8" fillId="31" borderId="35" xfId="1" applyNumberFormat="1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left" vertical="center" wrapText="1"/>
    </xf>
    <xf numFmtId="0" fontId="7" fillId="0" borderId="2" xfId="0" applyFont="1" applyBorder="1"/>
    <xf numFmtId="0" fontId="0" fillId="0" borderId="7" xfId="0" applyBorder="1"/>
    <xf numFmtId="3" fontId="7" fillId="0" borderId="0" xfId="0" applyNumberFormat="1" applyFont="1"/>
    <xf numFmtId="0" fontId="7" fillId="5" borderId="0" xfId="0" applyFont="1" applyFill="1"/>
    <xf numFmtId="3" fontId="70" fillId="0" borderId="0" xfId="0" applyNumberFormat="1" applyFont="1" applyAlignment="1">
      <alignment horizontal="center" vertical="center"/>
    </xf>
    <xf numFmtId="3" fontId="70" fillId="0" borderId="5" xfId="0" applyNumberFormat="1" applyFont="1" applyBorder="1" applyAlignment="1">
      <alignment horizontal="center" vertical="center"/>
    </xf>
    <xf numFmtId="0" fontId="19" fillId="29" borderId="14" xfId="0" applyFont="1" applyFill="1" applyBorder="1" applyAlignment="1">
      <alignment horizontal="right" vertical="center"/>
    </xf>
    <xf numFmtId="169" fontId="2" fillId="0" borderId="0" xfId="1" applyNumberFormat="1" applyFont="1" applyFill="1" applyBorder="1" applyAlignment="1">
      <alignment horizontal="center" vertical="center"/>
    </xf>
    <xf numFmtId="169" fontId="2" fillId="0" borderId="0" xfId="1" applyNumberFormat="1" applyFont="1" applyFill="1" applyBorder="1" applyAlignment="1">
      <alignment vertical="center"/>
    </xf>
    <xf numFmtId="49" fontId="30" fillId="0" borderId="0" xfId="0" applyNumberFormat="1" applyFont="1" applyAlignment="1">
      <alignment horizontal="center" vertical="center"/>
    </xf>
    <xf numFmtId="167" fontId="30" fillId="0" borderId="0" xfId="2" applyNumberFormat="1" applyFont="1" applyAlignment="1">
      <alignment horizontal="center" vertical="center"/>
    </xf>
    <xf numFmtId="49" fontId="30" fillId="0" borderId="0" xfId="0" applyNumberFormat="1" applyFont="1" applyAlignment="1">
      <alignment horizontal="left" vertical="center"/>
    </xf>
    <xf numFmtId="169" fontId="19" fillId="29" borderId="7" xfId="1" applyNumberFormat="1" applyFont="1" applyFill="1" applyBorder="1" applyAlignment="1">
      <alignment horizontal="center" vertical="center"/>
    </xf>
    <xf numFmtId="169" fontId="19" fillId="29" borderId="7" xfId="0" applyNumberFormat="1" applyFont="1" applyFill="1" applyBorder="1" applyAlignment="1">
      <alignment horizontal="center" vertical="center"/>
    </xf>
    <xf numFmtId="0" fontId="64" fillId="28" borderId="83" xfId="0" applyFont="1" applyFill="1" applyBorder="1" applyAlignment="1">
      <alignment horizontal="left" vertical="center"/>
    </xf>
    <xf numFmtId="0" fontId="65" fillId="28" borderId="83" xfId="0" applyFont="1" applyFill="1" applyBorder="1" applyAlignment="1">
      <alignment horizontal="center" vertical="center"/>
    </xf>
    <xf numFmtId="0" fontId="66" fillId="28" borderId="83" xfId="0" applyFont="1" applyFill="1" applyBorder="1" applyAlignment="1">
      <alignment horizontal="center" vertical="center"/>
    </xf>
    <xf numFmtId="0" fontId="67" fillId="28" borderId="83" xfId="0" applyFont="1" applyFill="1" applyBorder="1" applyAlignment="1">
      <alignment horizontal="left" vertical="center"/>
    </xf>
    <xf numFmtId="169" fontId="64" fillId="28" borderId="83" xfId="1" applyNumberFormat="1" applyFont="1" applyFill="1" applyBorder="1" applyAlignment="1">
      <alignment horizontal="center" vertical="center"/>
    </xf>
    <xf numFmtId="169" fontId="64" fillId="28" borderId="85" xfId="0" applyNumberFormat="1" applyFont="1" applyFill="1" applyBorder="1" applyAlignment="1">
      <alignment horizontal="center" vertical="center"/>
    </xf>
    <xf numFmtId="0" fontId="64" fillId="28" borderId="82" xfId="0" applyFont="1" applyFill="1" applyBorder="1" applyAlignment="1">
      <alignment horizontal="left" vertical="center"/>
    </xf>
    <xf numFmtId="0" fontId="65" fillId="28" borderId="82" xfId="0" applyFont="1" applyFill="1" applyBorder="1" applyAlignment="1">
      <alignment horizontal="center" vertical="center"/>
    </xf>
    <xf numFmtId="0" fontId="66" fillId="28" borderId="82" xfId="0" applyFont="1" applyFill="1" applyBorder="1" applyAlignment="1">
      <alignment horizontal="center" vertical="center"/>
    </xf>
    <xf numFmtId="0" fontId="67" fillId="28" borderId="82" xfId="0" applyFont="1" applyFill="1" applyBorder="1" applyAlignment="1">
      <alignment horizontal="left" vertical="center"/>
    </xf>
    <xf numFmtId="169" fontId="64" fillId="28" borderId="82" xfId="1" applyNumberFormat="1" applyFont="1" applyFill="1" applyBorder="1" applyAlignment="1">
      <alignment horizontal="center" vertical="center"/>
    </xf>
    <xf numFmtId="169" fontId="64" fillId="28" borderId="87" xfId="0" applyNumberFormat="1" applyFont="1" applyFill="1" applyBorder="1" applyAlignment="1">
      <alignment horizontal="center" vertical="center"/>
    </xf>
    <xf numFmtId="0" fontId="64" fillId="28" borderId="86" xfId="0" applyFont="1" applyFill="1" applyBorder="1" applyAlignment="1">
      <alignment horizontal="center" vertical="center"/>
    </xf>
    <xf numFmtId="169" fontId="71" fillId="22" borderId="90" xfId="1" applyNumberFormat="1" applyFont="1" applyFill="1" applyBorder="1" applyAlignment="1">
      <alignment vertical="center"/>
    </xf>
    <xf numFmtId="169" fontId="72" fillId="9" borderId="91" xfId="1" applyNumberFormat="1" applyFont="1" applyFill="1" applyBorder="1" applyAlignment="1">
      <alignment horizontal="center" vertical="center"/>
    </xf>
    <xf numFmtId="169" fontId="71" fillId="22" borderId="88" xfId="1" applyNumberFormat="1" applyFont="1" applyFill="1" applyBorder="1" applyAlignment="1">
      <alignment vertical="center"/>
    </xf>
    <xf numFmtId="169" fontId="72" fillId="9" borderId="89" xfId="1" applyNumberFormat="1" applyFont="1" applyFill="1" applyBorder="1" applyAlignment="1">
      <alignment horizontal="center" vertical="center"/>
    </xf>
    <xf numFmtId="169" fontId="72" fillId="9" borderId="89" xfId="1" applyNumberFormat="1" applyFont="1" applyFill="1" applyBorder="1" applyAlignment="1">
      <alignment vertical="center"/>
    </xf>
    <xf numFmtId="0" fontId="73" fillId="0" borderId="0" xfId="0" applyFont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6" xfId="0" applyFont="1" applyBorder="1" applyAlignment="1">
      <alignment horizontal="left" vertical="center"/>
    </xf>
    <xf numFmtId="49" fontId="7" fillId="0" borderId="16" xfId="0" applyNumberFormat="1" applyFont="1" applyBorder="1" applyAlignment="1">
      <alignment horizontal="center" vertical="center"/>
    </xf>
    <xf numFmtId="167" fontId="7" fillId="0" borderId="17" xfId="2" applyNumberFormat="1" applyFont="1" applyFill="1" applyBorder="1" applyAlignment="1">
      <alignment horizontal="center" vertical="center"/>
    </xf>
    <xf numFmtId="169" fontId="7" fillId="0" borderId="35" xfId="1" applyNumberFormat="1" applyFont="1" applyFill="1" applyBorder="1" applyAlignment="1">
      <alignment horizontal="center" vertical="center"/>
    </xf>
    <xf numFmtId="168" fontId="7" fillId="0" borderId="32" xfId="0" applyNumberFormat="1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49" fontId="7" fillId="0" borderId="18" xfId="0" applyNumberFormat="1" applyFont="1" applyBorder="1" applyAlignment="1">
      <alignment horizontal="left" vertical="center"/>
    </xf>
    <xf numFmtId="49" fontId="22" fillId="0" borderId="16" xfId="0" applyNumberFormat="1" applyFont="1" applyBorder="1" applyAlignment="1">
      <alignment horizontal="center" vertical="center"/>
    </xf>
    <xf numFmtId="170" fontId="7" fillId="0" borderId="32" xfId="0" applyNumberFormat="1" applyFont="1" applyBorder="1" applyAlignment="1">
      <alignment horizontal="center" vertical="center"/>
    </xf>
    <xf numFmtId="170" fontId="7" fillId="0" borderId="17" xfId="0" applyNumberFormat="1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68" fillId="0" borderId="0" xfId="0" applyFont="1" applyAlignment="1">
      <alignment vertical="center" wrapText="1"/>
    </xf>
    <xf numFmtId="0" fontId="68" fillId="0" borderId="0" xfId="0" applyFont="1" applyAlignment="1">
      <alignment vertical="center"/>
    </xf>
    <xf numFmtId="0" fontId="7" fillId="8" borderId="66" xfId="0" applyFont="1" applyFill="1" applyBorder="1" applyAlignment="1">
      <alignment vertical="center"/>
    </xf>
    <xf numFmtId="0" fontId="7" fillId="8" borderId="58" xfId="0" applyFont="1" applyFill="1" applyBorder="1" applyAlignment="1">
      <alignment vertical="center"/>
    </xf>
    <xf numFmtId="0" fontId="7" fillId="8" borderId="67" xfId="0" applyFont="1" applyFill="1" applyBorder="1" applyAlignment="1">
      <alignment vertical="center"/>
    </xf>
    <xf numFmtId="0" fontId="7" fillId="8" borderId="68" xfId="0" applyFont="1" applyFill="1" applyBorder="1" applyAlignment="1">
      <alignment vertical="center"/>
    </xf>
    <xf numFmtId="0" fontId="7" fillId="8" borderId="69" xfId="0" applyFont="1" applyFill="1" applyBorder="1" applyAlignment="1">
      <alignment vertical="center"/>
    </xf>
    <xf numFmtId="0" fontId="7" fillId="8" borderId="70" xfId="0" applyFont="1" applyFill="1" applyBorder="1" applyAlignment="1">
      <alignment vertical="center"/>
    </xf>
    <xf numFmtId="0" fontId="7" fillId="7" borderId="17" xfId="0" applyFont="1" applyFill="1" applyBorder="1" applyAlignment="1">
      <alignment horizontal="center" vertical="center"/>
    </xf>
    <xf numFmtId="49" fontId="30" fillId="0" borderId="0" xfId="0" quotePrefix="1" applyNumberFormat="1" applyFont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6" xfId="0" applyFont="1" applyBorder="1" applyAlignment="1">
      <alignment horizontal="left" vertical="center"/>
    </xf>
    <xf numFmtId="49" fontId="8" fillId="0" borderId="16" xfId="0" applyNumberFormat="1" applyFont="1" applyBorder="1" applyAlignment="1">
      <alignment horizontal="center" vertical="center"/>
    </xf>
    <xf numFmtId="168" fontId="8" fillId="0" borderId="32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49" fontId="8" fillId="0" borderId="18" xfId="0" applyNumberFormat="1" applyFont="1" applyBorder="1" applyAlignment="1">
      <alignment horizontal="left" vertical="center"/>
    </xf>
    <xf numFmtId="49" fontId="60" fillId="0" borderId="16" xfId="0" applyNumberFormat="1" applyFont="1" applyBorder="1" applyAlignment="1">
      <alignment horizontal="center" vertical="center"/>
    </xf>
    <xf numFmtId="170" fontId="8" fillId="0" borderId="32" xfId="0" applyNumberFormat="1" applyFont="1" applyBorder="1" applyAlignment="1">
      <alignment horizontal="center" vertical="center"/>
    </xf>
    <xf numFmtId="170" fontId="8" fillId="0" borderId="17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0" xfId="0" applyFont="1" applyBorder="1" applyAlignment="1">
      <alignment horizontal="left" vertical="center"/>
    </xf>
    <xf numFmtId="49" fontId="8" fillId="0" borderId="20" xfId="0" applyNumberFormat="1" applyFont="1" applyBorder="1" applyAlignment="1">
      <alignment horizontal="center" vertical="center"/>
    </xf>
    <xf numFmtId="168" fontId="8" fillId="0" borderId="31" xfId="0" applyNumberFormat="1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49" fontId="60" fillId="0" borderId="20" xfId="0" applyNumberFormat="1" applyFont="1" applyBorder="1" applyAlignment="1">
      <alignment horizontal="center" vertical="center"/>
    </xf>
    <xf numFmtId="170" fontId="8" fillId="0" borderId="31" xfId="0" applyNumberFormat="1" applyFont="1" applyBorder="1" applyAlignment="1">
      <alignment horizontal="center" vertical="center"/>
    </xf>
    <xf numFmtId="170" fontId="8" fillId="0" borderId="22" xfId="0" applyNumberFormat="1" applyFont="1" applyBorder="1" applyAlignment="1">
      <alignment horizontal="center" vertical="center"/>
    </xf>
    <xf numFmtId="3" fontId="48" fillId="0" borderId="17" xfId="0" applyNumberFormat="1" applyFont="1" applyBorder="1" applyAlignment="1">
      <alignment vertical="center"/>
    </xf>
    <xf numFmtId="0" fontId="8" fillId="0" borderId="25" xfId="0" applyFont="1" applyBorder="1" applyAlignment="1">
      <alignment horizontal="left" vertical="center"/>
    </xf>
    <xf numFmtId="49" fontId="8" fillId="0" borderId="25" xfId="0" applyNumberFormat="1" applyFont="1" applyBorder="1" applyAlignment="1">
      <alignment horizontal="center" vertical="center"/>
    </xf>
    <xf numFmtId="168" fontId="8" fillId="0" borderId="33" xfId="0" applyNumberFormat="1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49" fontId="8" fillId="0" borderId="27" xfId="0" applyNumberFormat="1" applyFont="1" applyBorder="1" applyAlignment="1">
      <alignment horizontal="left" vertical="center"/>
    </xf>
    <xf numFmtId="49" fontId="60" fillId="0" borderId="25" xfId="0" applyNumberFormat="1" applyFont="1" applyBorder="1" applyAlignment="1">
      <alignment horizontal="center" vertical="center"/>
    </xf>
    <xf numFmtId="170" fontId="8" fillId="0" borderId="33" xfId="0" applyNumberFormat="1" applyFont="1" applyBorder="1" applyAlignment="1">
      <alignment horizontal="center" vertical="center"/>
    </xf>
    <xf numFmtId="170" fontId="8" fillId="0" borderId="26" xfId="0" applyNumberFormat="1" applyFont="1" applyBorder="1" applyAlignment="1">
      <alignment horizontal="center" vertical="center"/>
    </xf>
    <xf numFmtId="0" fontId="8" fillId="0" borderId="28" xfId="0" applyFont="1" applyBorder="1" applyAlignment="1">
      <alignment horizontal="left" vertical="center"/>
    </xf>
    <xf numFmtId="49" fontId="8" fillId="0" borderId="28" xfId="0" applyNumberFormat="1" applyFont="1" applyBorder="1" applyAlignment="1">
      <alignment horizontal="center" vertical="center"/>
    </xf>
    <xf numFmtId="168" fontId="8" fillId="0" borderId="34" xfId="0" applyNumberFormat="1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49" fontId="8" fillId="0" borderId="30" xfId="0" applyNumberFormat="1" applyFont="1" applyBorder="1" applyAlignment="1">
      <alignment horizontal="left" vertical="center"/>
    </xf>
    <xf numFmtId="49" fontId="60" fillId="0" borderId="28" xfId="0" applyNumberFormat="1" applyFont="1" applyBorder="1" applyAlignment="1">
      <alignment horizontal="center" vertical="center"/>
    </xf>
    <xf numFmtId="170" fontId="8" fillId="0" borderId="34" xfId="0" applyNumberFormat="1" applyFont="1" applyBorder="1" applyAlignment="1">
      <alignment horizontal="center" vertical="center"/>
    </xf>
    <xf numFmtId="170" fontId="8" fillId="0" borderId="29" xfId="0" applyNumberFormat="1" applyFont="1" applyBorder="1" applyAlignment="1">
      <alignment horizontal="center" vertical="center"/>
    </xf>
    <xf numFmtId="49" fontId="8" fillId="0" borderId="19" xfId="0" applyNumberFormat="1" applyFon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14" fontId="0" fillId="0" borderId="12" xfId="0" applyNumberFormat="1" applyBorder="1" applyAlignment="1">
      <alignment horizontal="left" vertical="center"/>
    </xf>
    <xf numFmtId="0" fontId="55" fillId="2" borderId="7" xfId="0" applyFont="1" applyFill="1" applyBorder="1" applyAlignment="1">
      <alignment horizontal="center" vertical="center"/>
    </xf>
    <xf numFmtId="0" fontId="55" fillId="2" borderId="7" xfId="0" applyFont="1" applyFill="1" applyBorder="1" applyAlignment="1">
      <alignment horizontal="left" vertical="center"/>
    </xf>
    <xf numFmtId="49" fontId="55" fillId="2" borderId="7" xfId="0" applyNumberFormat="1" applyFont="1" applyFill="1" applyBorder="1" applyAlignment="1">
      <alignment horizontal="center" vertical="center"/>
    </xf>
    <xf numFmtId="167" fontId="55" fillId="2" borderId="10" xfId="2" applyNumberFormat="1" applyFont="1" applyFill="1" applyBorder="1" applyAlignment="1">
      <alignment horizontal="center" vertical="center"/>
    </xf>
    <xf numFmtId="169" fontId="55" fillId="2" borderId="7" xfId="1" applyNumberFormat="1" applyFont="1" applyFill="1" applyBorder="1" applyAlignment="1">
      <alignment horizontal="center" vertical="center"/>
    </xf>
    <xf numFmtId="168" fontId="55" fillId="2" borderId="15" xfId="0" applyNumberFormat="1" applyFont="1" applyFill="1" applyBorder="1" applyAlignment="1">
      <alignment horizontal="center" vertical="center"/>
    </xf>
    <xf numFmtId="0" fontId="55" fillId="2" borderId="10" xfId="0" applyFont="1" applyFill="1" applyBorder="1" applyAlignment="1">
      <alignment horizontal="center" vertical="center"/>
    </xf>
    <xf numFmtId="49" fontId="55" fillId="11" borderId="7" xfId="0" applyNumberFormat="1" applyFont="1" applyFill="1" applyBorder="1" applyAlignment="1">
      <alignment horizontal="center" vertical="center"/>
    </xf>
    <xf numFmtId="0" fontId="55" fillId="11" borderId="21" xfId="0" applyFont="1" applyFill="1" applyBorder="1" applyAlignment="1">
      <alignment horizontal="center" vertical="center"/>
    </xf>
    <xf numFmtId="169" fontId="55" fillId="11" borderId="37" xfId="1" applyNumberFormat="1" applyFont="1" applyFill="1" applyBorder="1" applyAlignment="1">
      <alignment horizontal="center" vertical="center"/>
    </xf>
    <xf numFmtId="170" fontId="55" fillId="11" borderId="15" xfId="0" applyNumberFormat="1" applyFont="1" applyFill="1" applyBorder="1" applyAlignment="1">
      <alignment horizontal="center" vertical="center"/>
    </xf>
    <xf numFmtId="170" fontId="55" fillId="11" borderId="10" xfId="0" applyNumberFormat="1" applyFont="1" applyFill="1" applyBorder="1" applyAlignment="1">
      <alignment horizontal="center" vertical="center"/>
    </xf>
    <xf numFmtId="0" fontId="55" fillId="11" borderId="10" xfId="0" applyFont="1" applyFill="1" applyBorder="1" applyAlignment="1">
      <alignment horizontal="center" vertical="center"/>
    </xf>
    <xf numFmtId="0" fontId="55" fillId="11" borderId="7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78" fillId="19" borderId="10" xfId="0" applyFont="1" applyFill="1" applyBorder="1" applyAlignment="1">
      <alignment horizontal="center" vertical="center"/>
    </xf>
    <xf numFmtId="0" fontId="78" fillId="19" borderId="7" xfId="0" applyFont="1" applyFill="1" applyBorder="1" applyAlignment="1">
      <alignment horizontal="center" vertical="center"/>
    </xf>
    <xf numFmtId="169" fontId="7" fillId="0" borderId="0" xfId="1" applyNumberFormat="1" applyFont="1"/>
    <xf numFmtId="0" fontId="78" fillId="33" borderId="7" xfId="0" applyFont="1" applyFill="1" applyBorder="1" applyAlignment="1">
      <alignment horizontal="center" vertical="center"/>
    </xf>
    <xf numFmtId="169" fontId="78" fillId="33" borderId="7" xfId="1" applyNumberFormat="1" applyFont="1" applyFill="1" applyBorder="1" applyAlignment="1">
      <alignment horizontal="center" vertical="center"/>
    </xf>
    <xf numFmtId="0" fontId="0" fillId="16" borderId="10" xfId="0" applyFill="1" applyBorder="1"/>
    <xf numFmtId="169" fontId="79" fillId="32" borderId="7" xfId="1" applyNumberFormat="1" applyFont="1" applyFill="1" applyBorder="1" applyAlignment="1">
      <alignment horizontal="center" vertical="center" wrapText="1"/>
    </xf>
    <xf numFmtId="174" fontId="80" fillId="32" borderId="7" xfId="0" applyNumberFormat="1" applyFont="1" applyFill="1" applyBorder="1" applyAlignment="1">
      <alignment horizontal="center" vertical="center" wrapText="1"/>
    </xf>
    <xf numFmtId="0" fontId="80" fillId="32" borderId="7" xfId="0" applyFont="1" applyFill="1" applyBorder="1" applyAlignment="1">
      <alignment horizontal="center" vertical="center" wrapText="1"/>
    </xf>
    <xf numFmtId="49" fontId="80" fillId="32" borderId="7" xfId="0" applyNumberFormat="1" applyFont="1" applyFill="1" applyBorder="1" applyAlignment="1">
      <alignment horizontal="center" vertical="center" wrapText="1"/>
    </xf>
    <xf numFmtId="167" fontId="80" fillId="32" borderId="10" xfId="2" applyNumberFormat="1" applyFont="1" applyFill="1" applyBorder="1" applyAlignment="1">
      <alignment horizontal="center" vertical="center" wrapText="1"/>
    </xf>
    <xf numFmtId="49" fontId="80" fillId="32" borderId="10" xfId="0" applyNumberFormat="1" applyFont="1" applyFill="1" applyBorder="1" applyAlignment="1">
      <alignment horizontal="center" vertical="center" wrapText="1"/>
    </xf>
    <xf numFmtId="169" fontId="80" fillId="32" borderId="7" xfId="1" applyNumberFormat="1" applyFont="1" applyFill="1" applyBorder="1" applyAlignment="1">
      <alignment horizontal="center" vertical="center" wrapText="1"/>
    </xf>
    <xf numFmtId="169" fontId="80" fillId="0" borderId="0" xfId="1" applyNumberFormat="1" applyFont="1" applyFill="1" applyBorder="1" applyAlignment="1">
      <alignment horizontal="center" vertical="center" wrapText="1"/>
    </xf>
    <xf numFmtId="0" fontId="81" fillId="0" borderId="0" xfId="0" applyFont="1" applyAlignment="1">
      <alignment vertical="center" wrapText="1"/>
    </xf>
    <xf numFmtId="174" fontId="0" fillId="0" borderId="0" xfId="0" applyNumberFormat="1" applyAlignment="1">
      <alignment horizontal="center" vertical="center"/>
    </xf>
    <xf numFmtId="169" fontId="70" fillId="0" borderId="9" xfId="1" applyNumberFormat="1" applyFont="1" applyBorder="1" applyAlignment="1">
      <alignment horizontal="center" vertical="center"/>
    </xf>
    <xf numFmtId="169" fontId="70" fillId="0" borderId="6" xfId="1" applyNumberFormat="1" applyFont="1" applyBorder="1" applyAlignment="1">
      <alignment horizontal="center" vertical="center"/>
    </xf>
    <xf numFmtId="0" fontId="83" fillId="0" borderId="11" xfId="0" applyFont="1" applyBorder="1" applyAlignment="1">
      <alignment horizontal="left" vertical="center"/>
    </xf>
    <xf numFmtId="3" fontId="83" fillId="0" borderId="0" xfId="0" applyNumberFormat="1" applyFont="1" applyAlignment="1">
      <alignment horizontal="center" vertical="center"/>
    </xf>
    <xf numFmtId="0" fontId="83" fillId="0" borderId="4" xfId="0" applyFont="1" applyBorder="1" applyAlignment="1">
      <alignment horizontal="left" vertical="center"/>
    </xf>
    <xf numFmtId="3" fontId="83" fillId="0" borderId="5" xfId="0" applyNumberFormat="1" applyFont="1" applyBorder="1" applyAlignment="1">
      <alignment horizontal="center" vertical="center"/>
    </xf>
    <xf numFmtId="49" fontId="78" fillId="19" borderId="10" xfId="0" applyNumberFormat="1" applyFont="1" applyFill="1" applyBorder="1" applyAlignment="1">
      <alignment horizontal="center" vertical="center"/>
    </xf>
    <xf numFmtId="169" fontId="78" fillId="19" borderId="7" xfId="0" applyNumberFormat="1" applyFont="1" applyFill="1" applyBorder="1" applyAlignment="1">
      <alignment horizontal="center" vertical="center"/>
    </xf>
    <xf numFmtId="0" fontId="71" fillId="0" borderId="11" xfId="0" applyFont="1" applyBorder="1" applyAlignment="1">
      <alignment horizontal="center"/>
    </xf>
    <xf numFmtId="49" fontId="84" fillId="0" borderId="0" xfId="0" applyNumberFormat="1" applyFont="1" applyAlignment="1">
      <alignment horizontal="center"/>
    </xf>
    <xf numFmtId="0" fontId="84" fillId="0" borderId="0" xfId="0" applyFont="1"/>
    <xf numFmtId="169" fontId="71" fillId="0" borderId="0" xfId="0" applyNumberFormat="1" applyFont="1"/>
    <xf numFmtId="169" fontId="71" fillId="0" borderId="9" xfId="0" applyNumberFormat="1" applyFont="1" applyBorder="1"/>
    <xf numFmtId="49" fontId="63" fillId="0" borderId="0" xfId="0" applyNumberFormat="1" applyFont="1" applyAlignment="1">
      <alignment horizontal="center"/>
    </xf>
    <xf numFmtId="169" fontId="84" fillId="0" borderId="0" xfId="0" applyNumberFormat="1" applyFont="1"/>
    <xf numFmtId="169" fontId="84" fillId="0" borderId="9" xfId="0" applyNumberFormat="1" applyFont="1" applyBorder="1"/>
    <xf numFmtId="0" fontId="13" fillId="9" borderId="1" xfId="0" applyFont="1" applyFill="1" applyBorder="1" applyAlignment="1">
      <alignment horizontal="center"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3" xfId="0" applyFont="1" applyFill="1" applyBorder="1" applyAlignment="1">
      <alignment horizontal="center" vertical="center"/>
    </xf>
    <xf numFmtId="0" fontId="13" fillId="9" borderId="11" xfId="0" applyFont="1" applyFill="1" applyBorder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13" fillId="9" borderId="9" xfId="0" applyFont="1" applyFill="1" applyBorder="1" applyAlignment="1">
      <alignment horizontal="center" vertical="center"/>
    </xf>
    <xf numFmtId="0" fontId="13" fillId="9" borderId="4" xfId="0" applyFont="1" applyFill="1" applyBorder="1" applyAlignment="1">
      <alignment horizontal="center" vertical="center"/>
    </xf>
    <xf numFmtId="0" fontId="13" fillId="9" borderId="5" xfId="0" applyFont="1" applyFill="1" applyBorder="1" applyAlignment="1">
      <alignment horizontal="center" vertical="center"/>
    </xf>
    <xf numFmtId="0" fontId="13" fillId="9" borderId="6" xfId="0" applyFont="1" applyFill="1" applyBorder="1" applyAlignment="1">
      <alignment horizontal="center" vertical="center"/>
    </xf>
    <xf numFmtId="0" fontId="63" fillId="0" borderId="10" xfId="0" applyFont="1" applyBorder="1" applyAlignment="1">
      <alignment horizontal="center" vertical="center"/>
    </xf>
    <xf numFmtId="0" fontId="63" fillId="0" borderId="21" xfId="0" applyFont="1" applyBorder="1" applyAlignment="1">
      <alignment horizontal="center" vertical="center"/>
    </xf>
    <xf numFmtId="0" fontId="63" fillId="0" borderId="15" xfId="0" applyFont="1" applyBorder="1" applyAlignment="1">
      <alignment horizontal="center" vertical="center"/>
    </xf>
    <xf numFmtId="0" fontId="80" fillId="32" borderId="10" xfId="0" applyFont="1" applyFill="1" applyBorder="1" applyAlignment="1">
      <alignment horizontal="center" vertical="center" wrapText="1"/>
    </xf>
    <xf numFmtId="0" fontId="80" fillId="32" borderId="21" xfId="0" applyFont="1" applyFill="1" applyBorder="1" applyAlignment="1">
      <alignment horizontal="center" vertical="center" wrapText="1"/>
    </xf>
    <xf numFmtId="0" fontId="80" fillId="32" borderId="15" xfId="0" applyFont="1" applyFill="1" applyBorder="1" applyAlignment="1">
      <alignment horizontal="center" vertical="center" wrapText="1"/>
    </xf>
    <xf numFmtId="0" fontId="82" fillId="6" borderId="1" xfId="0" applyFont="1" applyFill="1" applyBorder="1" applyAlignment="1">
      <alignment horizontal="center" vertical="center" wrapText="1"/>
    </xf>
    <xf numFmtId="0" fontId="82" fillId="6" borderId="2" xfId="0" applyFont="1" applyFill="1" applyBorder="1" applyAlignment="1">
      <alignment horizontal="center" vertical="center" wrapText="1"/>
    </xf>
    <xf numFmtId="0" fontId="82" fillId="6" borderId="3" xfId="0" applyFont="1" applyFill="1" applyBorder="1" applyAlignment="1">
      <alignment horizontal="center" vertical="center" wrapText="1"/>
    </xf>
    <xf numFmtId="0" fontId="13" fillId="6" borderId="1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6" borderId="9" xfId="0" applyFont="1" applyFill="1" applyBorder="1" applyAlignment="1">
      <alignment horizontal="center" vertical="center"/>
    </xf>
    <xf numFmtId="0" fontId="13" fillId="6" borderId="4" xfId="0" applyFont="1" applyFill="1" applyBorder="1" applyAlignment="1">
      <alignment horizontal="center" vertical="center"/>
    </xf>
    <xf numFmtId="0" fontId="13" fillId="6" borderId="5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3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2" xfId="0" applyFill="1" applyBorder="1" applyAlignment="1">
      <alignment horizontal="center" vertical="center"/>
    </xf>
    <xf numFmtId="0" fontId="0" fillId="27" borderId="3" xfId="0" applyFill="1" applyBorder="1" applyAlignment="1">
      <alignment horizontal="center" vertical="center"/>
    </xf>
    <xf numFmtId="0" fontId="0" fillId="27" borderId="4" xfId="0" applyFill="1" applyBorder="1" applyAlignment="1">
      <alignment horizontal="center" vertical="center"/>
    </xf>
    <xf numFmtId="0" fontId="0" fillId="27" borderId="5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82" fillId="15" borderId="10" xfId="0" applyFont="1" applyFill="1" applyBorder="1" applyAlignment="1">
      <alignment horizontal="center" vertical="center" wrapText="1"/>
    </xf>
    <xf numFmtId="0" fontId="82" fillId="15" borderId="21" xfId="0" applyFont="1" applyFill="1" applyBorder="1" applyAlignment="1">
      <alignment horizontal="center" vertical="center" wrapText="1"/>
    </xf>
    <xf numFmtId="0" fontId="82" fillId="15" borderId="15" xfId="0" applyFont="1" applyFill="1" applyBorder="1" applyAlignment="1">
      <alignment horizontal="center" vertical="center" wrapText="1"/>
    </xf>
    <xf numFmtId="0" fontId="77" fillId="15" borderId="10" xfId="0" applyFont="1" applyFill="1" applyBorder="1" applyAlignment="1">
      <alignment horizontal="center" vertical="center"/>
    </xf>
    <xf numFmtId="0" fontId="77" fillId="15" borderId="21" xfId="0" applyFont="1" applyFill="1" applyBorder="1" applyAlignment="1">
      <alignment horizontal="center" vertical="center"/>
    </xf>
    <xf numFmtId="0" fontId="77" fillId="15" borderId="15" xfId="0" applyFont="1" applyFill="1" applyBorder="1" applyAlignment="1">
      <alignment horizontal="center" vertical="center"/>
    </xf>
    <xf numFmtId="0" fontId="77" fillId="20" borderId="10" xfId="0" applyFont="1" applyFill="1" applyBorder="1" applyAlignment="1">
      <alignment horizontal="center" vertical="center"/>
    </xf>
    <xf numFmtId="0" fontId="77" fillId="20" borderId="21" xfId="0" applyFont="1" applyFill="1" applyBorder="1" applyAlignment="1">
      <alignment horizontal="center" vertical="center"/>
    </xf>
    <xf numFmtId="0" fontId="77" fillId="20" borderId="15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5" fillId="0" borderId="21" xfId="0" applyFont="1" applyBorder="1" applyAlignment="1">
      <alignment horizontal="center" vertical="center"/>
    </xf>
    <xf numFmtId="0" fontId="43" fillId="14" borderId="10" xfId="0" applyFont="1" applyFill="1" applyBorder="1" applyAlignment="1">
      <alignment horizontal="center" vertical="center"/>
    </xf>
    <xf numFmtId="0" fontId="43" fillId="14" borderId="21" xfId="0" applyFont="1" applyFill="1" applyBorder="1" applyAlignment="1">
      <alignment horizontal="center" vertical="center"/>
    </xf>
    <xf numFmtId="0" fontId="43" fillId="14" borderId="15" xfId="0" applyFont="1" applyFill="1" applyBorder="1" applyAlignment="1">
      <alignment horizontal="center" vertical="center"/>
    </xf>
    <xf numFmtId="0" fontId="7" fillId="9" borderId="12" xfId="0" applyFont="1" applyFill="1" applyBorder="1" applyAlignment="1">
      <alignment horizontal="center"/>
    </xf>
    <xf numFmtId="0" fontId="7" fillId="9" borderId="14" xfId="0" applyFont="1" applyFill="1" applyBorder="1" applyAlignment="1">
      <alignment horizontal="center"/>
    </xf>
    <xf numFmtId="0" fontId="7" fillId="18" borderId="1" xfId="0" applyFont="1" applyFill="1" applyBorder="1" applyAlignment="1">
      <alignment horizontal="center"/>
    </xf>
    <xf numFmtId="0" fontId="7" fillId="18" borderId="3" xfId="0" applyFont="1" applyFill="1" applyBorder="1" applyAlignment="1">
      <alignment horizontal="center"/>
    </xf>
    <xf numFmtId="0" fontId="7" fillId="18" borderId="11" xfId="0" applyFont="1" applyFill="1" applyBorder="1" applyAlignment="1">
      <alignment horizontal="center"/>
    </xf>
    <xf numFmtId="0" fontId="7" fillId="18" borderId="9" xfId="0" applyFont="1" applyFill="1" applyBorder="1" applyAlignment="1">
      <alignment horizontal="center"/>
    </xf>
    <xf numFmtId="0" fontId="7" fillId="18" borderId="4" xfId="0" applyFont="1" applyFill="1" applyBorder="1" applyAlignment="1">
      <alignment horizontal="center"/>
    </xf>
    <xf numFmtId="0" fontId="7" fillId="18" borderId="6" xfId="0" applyFont="1" applyFill="1" applyBorder="1" applyAlignment="1">
      <alignment horizontal="center"/>
    </xf>
    <xf numFmtId="0" fontId="7" fillId="20" borderId="1" xfId="0" applyFont="1" applyFill="1" applyBorder="1" applyAlignment="1">
      <alignment horizontal="center"/>
    </xf>
    <xf numFmtId="0" fontId="7" fillId="20" borderId="3" xfId="0" applyFont="1" applyFill="1" applyBorder="1" applyAlignment="1">
      <alignment horizontal="center"/>
    </xf>
    <xf numFmtId="0" fontId="7" fillId="20" borderId="4" xfId="0" applyFont="1" applyFill="1" applyBorder="1" applyAlignment="1">
      <alignment horizontal="center"/>
    </xf>
    <xf numFmtId="0" fontId="7" fillId="20" borderId="6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43" fillId="8" borderId="10" xfId="0" applyFont="1" applyFill="1" applyBorder="1" applyAlignment="1">
      <alignment horizontal="center" vertical="center"/>
    </xf>
    <xf numFmtId="0" fontId="43" fillId="8" borderId="21" xfId="0" applyFont="1" applyFill="1" applyBorder="1" applyAlignment="1">
      <alignment horizontal="center" vertical="center"/>
    </xf>
    <xf numFmtId="0" fontId="43" fillId="8" borderId="15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left" vertical="center"/>
    </xf>
    <xf numFmtId="0" fontId="45" fillId="0" borderId="21" xfId="0" applyFont="1" applyBorder="1" applyAlignment="1">
      <alignment horizontal="left" vertical="center"/>
    </xf>
    <xf numFmtId="0" fontId="45" fillId="0" borderId="2" xfId="0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9" xfId="0" applyFont="1" applyFill="1" applyBorder="1" applyAlignment="1">
      <alignment horizontal="center" vertical="center"/>
    </xf>
    <xf numFmtId="0" fontId="7" fillId="8" borderId="60" xfId="0" applyFont="1" applyFill="1" applyBorder="1" applyAlignment="1">
      <alignment horizontal="center" vertical="center"/>
    </xf>
    <xf numFmtId="0" fontId="7" fillId="8" borderId="63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2" borderId="3" xfId="0" applyFont="1" applyFill="1" applyBorder="1" applyAlignment="1">
      <alignment horizontal="center" vertical="center"/>
    </xf>
    <xf numFmtId="0" fontId="33" fillId="2" borderId="5" xfId="0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center" vertical="center"/>
    </xf>
    <xf numFmtId="0" fontId="74" fillId="11" borderId="0" xfId="0" applyFont="1" applyFill="1" applyAlignment="1">
      <alignment horizontal="center" vertical="center" wrapText="1"/>
    </xf>
    <xf numFmtId="0" fontId="74" fillId="11" borderId="9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/>
    </xf>
    <xf numFmtId="0" fontId="33" fillId="11" borderId="2" xfId="0" applyFont="1" applyFill="1" applyBorder="1" applyAlignment="1">
      <alignment horizontal="center" vertical="center"/>
    </xf>
    <xf numFmtId="0" fontId="33" fillId="11" borderId="3" xfId="0" applyFont="1" applyFill="1" applyBorder="1" applyAlignment="1">
      <alignment horizontal="center" vertical="center"/>
    </xf>
    <xf numFmtId="0" fontId="33" fillId="11" borderId="4" xfId="0" applyFont="1" applyFill="1" applyBorder="1" applyAlignment="1">
      <alignment horizontal="center" vertical="center"/>
    </xf>
    <xf numFmtId="0" fontId="33" fillId="11" borderId="5" xfId="0" applyFont="1" applyFill="1" applyBorder="1" applyAlignment="1">
      <alignment horizontal="center" vertical="center"/>
    </xf>
    <xf numFmtId="0" fontId="33" fillId="11" borderId="6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7" fillId="8" borderId="64" xfId="0" applyFont="1" applyFill="1" applyBorder="1" applyAlignment="1">
      <alignment horizontal="center" vertical="center"/>
    </xf>
    <xf numFmtId="0" fontId="7" fillId="8" borderId="59" xfId="0" applyFont="1" applyFill="1" applyBorder="1" applyAlignment="1">
      <alignment horizontal="center" vertical="center"/>
    </xf>
    <xf numFmtId="0" fontId="7" fillId="8" borderId="65" xfId="0" applyFont="1" applyFill="1" applyBorder="1" applyAlignment="1">
      <alignment horizontal="center" vertical="center"/>
    </xf>
    <xf numFmtId="0" fontId="7" fillId="8" borderId="62" xfId="0" applyFont="1" applyFill="1" applyBorder="1" applyAlignment="1">
      <alignment horizontal="center" vertical="center"/>
    </xf>
    <xf numFmtId="0" fontId="7" fillId="11" borderId="4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/>
    </xf>
    <xf numFmtId="0" fontId="74" fillId="11" borderId="5" xfId="0" applyFont="1" applyFill="1" applyBorder="1" applyAlignment="1">
      <alignment horizontal="center" vertical="center" wrapText="1"/>
    </xf>
    <xf numFmtId="0" fontId="74" fillId="11" borderId="6" xfId="0" applyFont="1" applyFill="1" applyBorder="1" applyAlignment="1">
      <alignment horizontal="center" vertical="center" wrapText="1"/>
    </xf>
    <xf numFmtId="0" fontId="17" fillId="11" borderId="10" xfId="0" applyFont="1" applyFill="1" applyBorder="1" applyAlignment="1">
      <alignment horizontal="center" vertical="center" wrapText="1"/>
    </xf>
    <xf numFmtId="0" fontId="17" fillId="11" borderId="15" xfId="0" applyFont="1" applyFill="1" applyBorder="1" applyAlignment="1">
      <alignment horizontal="center" vertical="center" wrapText="1"/>
    </xf>
    <xf numFmtId="0" fontId="28" fillId="12" borderId="41" xfId="0" applyFont="1" applyFill="1" applyBorder="1" applyAlignment="1">
      <alignment horizontal="center" vertical="center" wrapText="1"/>
    </xf>
    <xf numFmtId="0" fontId="28" fillId="12" borderId="42" xfId="0" applyFont="1" applyFill="1" applyBorder="1" applyAlignment="1">
      <alignment horizontal="center" vertical="center" wrapText="1"/>
    </xf>
    <xf numFmtId="0" fontId="31" fillId="12" borderId="61" xfId="0" applyFont="1" applyFill="1" applyBorder="1" applyAlignment="1">
      <alignment horizontal="center" vertical="center"/>
    </xf>
    <xf numFmtId="0" fontId="31" fillId="12" borderId="49" xfId="0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left" vertical="center" wrapText="1"/>
    </xf>
    <xf numFmtId="0" fontId="24" fillId="5" borderId="3" xfId="0" applyFont="1" applyFill="1" applyBorder="1" applyAlignment="1">
      <alignment horizontal="left" vertical="center" wrapText="1"/>
    </xf>
    <xf numFmtId="0" fontId="17" fillId="11" borderId="10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11" borderId="14" xfId="0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 wrapText="1"/>
    </xf>
    <xf numFmtId="0" fontId="13" fillId="5" borderId="0" xfId="0" applyFont="1" applyFill="1" applyAlignment="1">
      <alignment horizontal="left" vertical="top" wrapText="1"/>
    </xf>
    <xf numFmtId="0" fontId="13" fillId="5" borderId="0" xfId="0" applyFont="1" applyFill="1" applyAlignment="1">
      <alignment horizontal="left" vertical="top"/>
    </xf>
    <xf numFmtId="0" fontId="13" fillId="5" borderId="5" xfId="0" applyFont="1" applyFill="1" applyBorder="1" applyAlignment="1">
      <alignment horizontal="left" vertical="top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B54B4B"/>
      <color rgb="FFD72929"/>
      <color rgb="FFF1A5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0</xdr:row>
          <xdr:rowOff>104775</xdr:rowOff>
        </xdr:from>
        <xdr:to>
          <xdr:col>7</xdr:col>
          <xdr:colOff>1943100</xdr:colOff>
          <xdr:row>0</xdr:row>
          <xdr:rowOff>657225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PH" sz="2800" b="1" i="0" u="none" strike="noStrike" baseline="0">
                  <a:solidFill>
                    <a:srgbClr val="000000"/>
                  </a:solidFill>
                  <a:latin typeface="Bahnschrift Condensed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</xdr:row>
          <xdr:rowOff>57150</xdr:rowOff>
        </xdr:from>
        <xdr:to>
          <xdr:col>10</xdr:col>
          <xdr:colOff>685800</xdr:colOff>
          <xdr:row>4</xdr:row>
          <xdr:rowOff>133350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PH" sz="2800" b="1" i="0" u="none" strike="noStrike" baseline="0">
                  <a:solidFill>
                    <a:srgbClr val="000000"/>
                  </a:solidFill>
                  <a:latin typeface="Bahnschrift Condensed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66675</xdr:rowOff>
        </xdr:from>
        <xdr:to>
          <xdr:col>10</xdr:col>
          <xdr:colOff>695325</xdr:colOff>
          <xdr:row>1</xdr:row>
          <xdr:rowOff>247650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PH" sz="2800" b="1" i="0" u="none" strike="noStrike" baseline="0">
                  <a:solidFill>
                    <a:srgbClr val="000000"/>
                  </a:solidFill>
                  <a:latin typeface="Bahnschrift Condensed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1</xdr:row>
          <xdr:rowOff>66675</xdr:rowOff>
        </xdr:from>
        <xdr:to>
          <xdr:col>7</xdr:col>
          <xdr:colOff>1990725</xdr:colOff>
          <xdr:row>2</xdr:row>
          <xdr:rowOff>123825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PH" sz="2800" b="1" i="0" u="none" strike="noStrike" baseline="0">
                  <a:solidFill>
                    <a:srgbClr val="000000"/>
                  </a:solidFill>
                  <a:latin typeface="Bahnschrift Condensed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57150</xdr:rowOff>
        </xdr:from>
        <xdr:to>
          <xdr:col>10</xdr:col>
          <xdr:colOff>685800</xdr:colOff>
          <xdr:row>7</xdr:row>
          <xdr:rowOff>133350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PH" sz="2800" b="1" i="0" u="none" strike="noStrike" baseline="0">
                  <a:solidFill>
                    <a:srgbClr val="000000"/>
                  </a:solidFill>
                  <a:latin typeface="Bahnschrift Condensed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95250</xdr:colOff>
          <xdr:row>0</xdr:row>
          <xdr:rowOff>104775</xdr:rowOff>
        </xdr:from>
        <xdr:to>
          <xdr:col>29</xdr:col>
          <xdr:colOff>895350</xdr:colOff>
          <xdr:row>0</xdr:row>
          <xdr:rowOff>638175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800" b="1" i="0" u="none" strike="noStrike" baseline="0">
                  <a:solidFill>
                    <a:srgbClr val="000000"/>
                  </a:solidFill>
                  <a:latin typeface="Bahnschrift Condensed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95250</xdr:colOff>
          <xdr:row>0</xdr:row>
          <xdr:rowOff>104775</xdr:rowOff>
        </xdr:from>
        <xdr:to>
          <xdr:col>40</xdr:col>
          <xdr:colOff>895350</xdr:colOff>
          <xdr:row>0</xdr:row>
          <xdr:rowOff>638175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800" b="1" i="0" u="none" strike="noStrike" baseline="0">
                  <a:solidFill>
                    <a:srgbClr val="000000"/>
                  </a:solidFill>
                  <a:latin typeface="Bahnschrift Condensed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2</xdr:row>
          <xdr:rowOff>95250</xdr:rowOff>
        </xdr:from>
        <xdr:to>
          <xdr:col>22</xdr:col>
          <xdr:colOff>533400</xdr:colOff>
          <xdr:row>7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PH" sz="28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SORT A-Z (Item)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10</xdr:row>
          <xdr:rowOff>28575</xdr:rowOff>
        </xdr:from>
        <xdr:to>
          <xdr:col>22</xdr:col>
          <xdr:colOff>533400</xdr:colOff>
          <xdr:row>11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QTY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8</xdr:row>
          <xdr:rowOff>57150</xdr:rowOff>
        </xdr:from>
        <xdr:to>
          <xdr:col>21</xdr:col>
          <xdr:colOff>352425</xdr:colOff>
          <xdr:row>9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12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TOTAL COST (DESC)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400050</xdr:colOff>
          <xdr:row>8</xdr:row>
          <xdr:rowOff>57150</xdr:rowOff>
        </xdr:from>
        <xdr:to>
          <xdr:col>22</xdr:col>
          <xdr:colOff>533400</xdr:colOff>
          <xdr:row>9</xdr:row>
          <xdr:rowOff>123825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12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COST (DESC)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10</xdr:row>
          <xdr:rowOff>28575</xdr:rowOff>
        </xdr:from>
        <xdr:to>
          <xdr:col>20</xdr:col>
          <xdr:colOff>552450</xdr:colOff>
          <xdr:row>11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TYPE (A-Z)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12</xdr:row>
          <xdr:rowOff>38100</xdr:rowOff>
        </xdr:from>
        <xdr:to>
          <xdr:col>22</xdr:col>
          <xdr:colOff>533400</xdr:colOff>
          <xdr:row>13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18</xdr:row>
          <xdr:rowOff>95250</xdr:rowOff>
        </xdr:from>
        <xdr:to>
          <xdr:col>22</xdr:col>
          <xdr:colOff>504825</xdr:colOff>
          <xdr:row>21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DATE ADDED (DESC)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22</xdr:row>
          <xdr:rowOff>57150</xdr:rowOff>
        </xdr:from>
        <xdr:to>
          <xdr:col>22</xdr:col>
          <xdr:colOff>514350</xdr:colOff>
          <xdr:row>24</xdr:row>
          <xdr:rowOff>123825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LAST UPDATED (DESC)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8</xdr:row>
          <xdr:rowOff>66675</xdr:rowOff>
        </xdr:from>
        <xdr:to>
          <xdr:col>25</xdr:col>
          <xdr:colOff>542925</xdr:colOff>
          <xdr:row>11</xdr:row>
          <xdr:rowOff>133350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Update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18</xdr:row>
          <xdr:rowOff>66675</xdr:rowOff>
        </xdr:from>
        <xdr:to>
          <xdr:col>25</xdr:col>
          <xdr:colOff>542925</xdr:colOff>
          <xdr:row>20</xdr:row>
          <xdr:rowOff>133350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Item Preview (Column B)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22</xdr:row>
          <xdr:rowOff>66675</xdr:rowOff>
        </xdr:from>
        <xdr:to>
          <xdr:col>25</xdr:col>
          <xdr:colOff>542925</xdr:colOff>
          <xdr:row>25</xdr:row>
          <xdr:rowOff>133350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Proper Case (GenericName)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3</xdr:row>
          <xdr:rowOff>66675</xdr:rowOff>
        </xdr:from>
        <xdr:to>
          <xdr:col>25</xdr:col>
          <xdr:colOff>542925</xdr:colOff>
          <xdr:row>6</xdr:row>
          <xdr:rowOff>133350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Total Cost 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18</xdr:row>
          <xdr:rowOff>95250</xdr:rowOff>
        </xdr:from>
        <xdr:to>
          <xdr:col>20</xdr:col>
          <xdr:colOff>552450</xdr:colOff>
          <xdr:row>21</xdr:row>
          <xdr:rowOff>152400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DATE ADDED (ASC)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13</xdr:row>
          <xdr:rowOff>66675</xdr:rowOff>
        </xdr:from>
        <xdr:to>
          <xdr:col>25</xdr:col>
          <xdr:colOff>542925</xdr:colOff>
          <xdr:row>16</xdr:row>
          <xdr:rowOff>133350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Highlight Expiry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47625</xdr:rowOff>
        </xdr:from>
        <xdr:to>
          <xdr:col>1</xdr:col>
          <xdr:colOff>2114550</xdr:colOff>
          <xdr:row>14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Bahnschrift Condensed"/>
                </a:rPr>
                <a:t>ADD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19050</xdr:rowOff>
        </xdr:from>
        <xdr:to>
          <xdr:col>2</xdr:col>
          <xdr:colOff>790575</xdr:colOff>
          <xdr:row>21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1200" b="1" i="0" u="none" strike="noStrike" baseline="0">
                  <a:solidFill>
                    <a:srgbClr val="000000"/>
                  </a:solidFill>
                  <a:latin typeface="Bahnschrift SemiBold Condensed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161925</xdr:rowOff>
        </xdr:from>
        <xdr:to>
          <xdr:col>1</xdr:col>
          <xdr:colOff>2114550</xdr:colOff>
          <xdr:row>15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900" b="1" i="0" u="none" strike="noStrike" baseline="0">
                  <a:solidFill>
                    <a:srgbClr val="000000"/>
                  </a:solidFill>
                  <a:latin typeface="Bahnschrift Condensed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8</xdr:row>
          <xdr:rowOff>38100</xdr:rowOff>
        </xdr:from>
        <xdr:to>
          <xdr:col>5</xdr:col>
          <xdr:colOff>1266825</xdr:colOff>
          <xdr:row>9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400" b="1" i="0" u="none" strike="noStrike" baseline="0">
                  <a:solidFill>
                    <a:srgbClr val="000000"/>
                  </a:solidFill>
                  <a:latin typeface="Bahnschrift Condensed"/>
                </a:rPr>
                <a:t>RECORD OUTGOING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1323975</xdr:colOff>
          <xdr:row>8</xdr:row>
          <xdr:rowOff>38100</xdr:rowOff>
        </xdr:from>
        <xdr:to>
          <xdr:col>5</xdr:col>
          <xdr:colOff>1847850</xdr:colOff>
          <xdr:row>9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2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1200" b="1" i="0" u="none" strike="noStrike" baseline="0">
                  <a:solidFill>
                    <a:srgbClr val="000000"/>
                  </a:solidFill>
                  <a:latin typeface="Bahnschrift Condensed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24</xdr:row>
          <xdr:rowOff>19050</xdr:rowOff>
        </xdr:from>
        <xdr:to>
          <xdr:col>2</xdr:col>
          <xdr:colOff>800100</xdr:colOff>
          <xdr:row>24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2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800" b="1" i="0" u="none" strike="noStrike" baseline="0">
                  <a:solidFill>
                    <a:srgbClr val="000000"/>
                  </a:solidFill>
                  <a:latin typeface="Bahnschrift Condensed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2352675</xdr:colOff>
          <xdr:row>4</xdr:row>
          <xdr:rowOff>28575</xdr:rowOff>
        </xdr:from>
        <xdr:to>
          <xdr:col>5</xdr:col>
          <xdr:colOff>3076575</xdr:colOff>
          <xdr:row>4</xdr:row>
          <xdr:rowOff>209550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900" b="1" i="0" u="none" strike="noStrike" baseline="0">
                  <a:solidFill>
                    <a:srgbClr val="000000"/>
                  </a:solidFill>
                  <a:latin typeface="Bahnschrift Condensed"/>
                </a:rPr>
                <a:t>SELECT BATCH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</xdr:row>
          <xdr:rowOff>76200</xdr:rowOff>
        </xdr:from>
        <xdr:to>
          <xdr:col>11</xdr:col>
          <xdr:colOff>523875</xdr:colOff>
          <xdr:row>4</xdr:row>
          <xdr:rowOff>123825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Bahnschrift Condensed"/>
                </a:rPr>
                <a:t>SOLD TO (A-Z)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5</xdr:row>
          <xdr:rowOff>85725</xdr:rowOff>
        </xdr:from>
        <xdr:to>
          <xdr:col>11</xdr:col>
          <xdr:colOff>523875</xdr:colOff>
          <xdr:row>6</xdr:row>
          <xdr:rowOff>133350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3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1200" b="1" i="0" u="none" strike="noStrike" baseline="0">
                  <a:solidFill>
                    <a:srgbClr val="000000"/>
                  </a:solidFill>
                  <a:latin typeface="Bahnschrift Condensed"/>
                </a:rPr>
                <a:t>ITEM (A-Z)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7</xdr:row>
          <xdr:rowOff>85725</xdr:rowOff>
        </xdr:from>
        <xdr:to>
          <xdr:col>10</xdr:col>
          <xdr:colOff>266700</xdr:colOff>
          <xdr:row>8</xdr:row>
          <xdr:rowOff>133350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3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1200" b="1" i="0" u="none" strike="noStrike" baseline="0">
                  <a:solidFill>
                    <a:srgbClr val="000000"/>
                  </a:solidFill>
                  <a:latin typeface="Bahnschrift Condensed"/>
                </a:rPr>
                <a:t>DATE ASC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7</xdr:row>
          <xdr:rowOff>85725</xdr:rowOff>
        </xdr:from>
        <xdr:to>
          <xdr:col>11</xdr:col>
          <xdr:colOff>523875</xdr:colOff>
          <xdr:row>8</xdr:row>
          <xdr:rowOff>133350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3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1200" b="1" i="0" u="none" strike="noStrike" baseline="0">
                  <a:solidFill>
                    <a:srgbClr val="000000"/>
                  </a:solidFill>
                  <a:latin typeface="Bahnschrift Condensed"/>
                </a:rPr>
                <a:t>DATE DESC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85725</xdr:colOff>
          <xdr:row>0</xdr:row>
          <xdr:rowOff>66675</xdr:rowOff>
        </xdr:from>
        <xdr:to>
          <xdr:col>26</xdr:col>
          <xdr:colOff>523875</xdr:colOff>
          <xdr:row>1</xdr:row>
          <xdr:rowOff>180975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3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Bahnschrift Condensed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85725</xdr:colOff>
          <xdr:row>1</xdr:row>
          <xdr:rowOff>238125</xdr:rowOff>
        </xdr:from>
        <xdr:to>
          <xdr:col>26</xdr:col>
          <xdr:colOff>523875</xdr:colOff>
          <xdr:row>2</xdr:row>
          <xdr:rowOff>171450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3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1200" b="1" i="0" u="none" strike="noStrike" baseline="0">
                  <a:solidFill>
                    <a:srgbClr val="000000"/>
                  </a:solidFill>
                  <a:latin typeface="Bahnschrift Condensed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9</xdr:row>
          <xdr:rowOff>76200</xdr:rowOff>
        </xdr:from>
        <xdr:to>
          <xdr:col>11</xdr:col>
          <xdr:colOff>523875</xdr:colOff>
          <xdr:row>12</xdr:row>
          <xdr:rowOff>123825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3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Bahnschrift Condensed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ypeLis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0FF15-B0B6-4774-B0C6-BE4AA5585F91}">
  <sheetPr codeName="Sheet5">
    <tabColor rgb="FF00B0F0"/>
  </sheetPr>
  <dimension ref="A1:AO595"/>
  <sheetViews>
    <sheetView tabSelected="1" zoomScale="70" zoomScaleNormal="70" workbookViewId="0">
      <selection activeCell="D9" sqref="D9"/>
    </sheetView>
  </sheetViews>
  <sheetFormatPr defaultRowHeight="15" x14ac:dyDescent="0.25"/>
  <cols>
    <col min="1" max="1" width="49.42578125" style="40" customWidth="1"/>
    <col min="2" max="2" width="16.7109375" style="103" bestFit="1" customWidth="1"/>
    <col min="3" max="3" width="7.140625" style="104" customWidth="1"/>
    <col min="4" max="4" width="11.85546875" style="42" customWidth="1"/>
    <col min="5" max="5" width="15.42578125" style="36" customWidth="1"/>
    <col min="6" max="6" width="22.7109375" style="106" customWidth="1"/>
    <col min="7" max="7" width="13.85546875" style="102" customWidth="1"/>
    <col min="8" max="8" width="30.7109375" style="2" customWidth="1"/>
    <col min="9" max="9" width="24.42578125" style="2" customWidth="1"/>
    <col min="10" max="11" width="11.7109375" style="2" customWidth="1"/>
    <col min="12" max="12" width="20.140625" style="40" bestFit="1" customWidth="1"/>
    <col min="13" max="13" width="65.85546875" style="55" bestFit="1" customWidth="1"/>
    <col min="14" max="14" width="17.7109375" style="41" customWidth="1"/>
    <col min="15" max="15" width="14.28515625" style="42" bestFit="1" customWidth="1"/>
    <col min="16" max="16" width="16.28515625" style="111" bestFit="1" customWidth="1"/>
    <col min="17" max="17" width="16.28515625" style="43" customWidth="1"/>
    <col min="18" max="18" width="28.5703125" style="92" customWidth="1"/>
    <col min="19" max="19" width="12" style="95" customWidth="1"/>
    <col min="20" max="20" width="13.5703125" style="101" bestFit="1" customWidth="1"/>
    <col min="21" max="21" width="12.28515625" style="100" bestFit="1" customWidth="1"/>
    <col min="22" max="22" width="12.28515625" style="139" bestFit="1" customWidth="1"/>
    <col min="23" max="23" width="11.42578125" style="144" customWidth="1"/>
    <col min="24" max="24" width="9" style="148" customWidth="1"/>
    <col min="25" max="25" width="11.140625" style="145" customWidth="1"/>
    <col min="26" max="26" width="8.42578125" style="146" bestFit="1" customWidth="1"/>
    <col min="27" max="27" width="9.140625" style="2"/>
    <col min="28" max="28" width="14.140625" style="2" customWidth="1"/>
    <col min="29" max="29" width="9.140625" style="2" customWidth="1"/>
    <col min="30" max="30" width="14.7109375" customWidth="1"/>
    <col min="31" max="31" width="64.140625" style="2" bestFit="1" customWidth="1"/>
    <col min="32" max="32" width="14.140625" style="2" customWidth="1"/>
    <col min="33" max="33" width="15.140625" style="2" customWidth="1"/>
    <col min="34" max="34" width="15.7109375" style="293" customWidth="1"/>
    <col min="35" max="35" width="39.7109375" style="185" customWidth="1"/>
    <col min="36" max="36" width="59.85546875" style="315" customWidth="1"/>
    <col min="37" max="37" width="12.42578125" style="320" bestFit="1" customWidth="1"/>
    <col min="38" max="38" width="49.5703125" style="317" customWidth="1"/>
    <col min="39" max="39" width="11.140625" style="321" bestFit="1" customWidth="1"/>
    <col min="40" max="40" width="13.42578125" style="322" bestFit="1" customWidth="1"/>
    <col min="41" max="41" width="14.7109375" customWidth="1"/>
  </cols>
  <sheetData>
    <row r="1" spans="1:41" ht="59.25" customHeight="1" thickBot="1" x14ac:dyDescent="0.3">
      <c r="A1" s="370" t="s">
        <v>107</v>
      </c>
      <c r="B1" s="371"/>
      <c r="C1" s="371"/>
      <c r="D1" s="371"/>
      <c r="E1" s="371"/>
      <c r="F1" s="371"/>
      <c r="G1" s="372"/>
      <c r="H1" s="108"/>
      <c r="J1" s="381"/>
      <c r="K1" s="382"/>
      <c r="L1" s="391" t="s">
        <v>195</v>
      </c>
      <c r="M1" s="392"/>
      <c r="N1" s="392"/>
      <c r="O1" s="392"/>
      <c r="P1" s="392"/>
      <c r="Q1" s="392"/>
      <c r="R1" s="392"/>
      <c r="S1" s="392"/>
      <c r="T1" s="392"/>
      <c r="U1" s="392"/>
      <c r="V1" s="392"/>
      <c r="W1" s="392"/>
      <c r="X1" s="392"/>
      <c r="Y1" s="392"/>
      <c r="Z1" s="393"/>
      <c r="AC1" s="182"/>
      <c r="AD1" s="296"/>
      <c r="AE1" s="362" t="s">
        <v>265</v>
      </c>
      <c r="AF1" s="363"/>
      <c r="AG1" s="363"/>
      <c r="AH1" s="364"/>
      <c r="AJ1" s="365" t="s">
        <v>255</v>
      </c>
      <c r="AK1" s="366"/>
      <c r="AL1" s="366"/>
      <c r="AM1" s="366"/>
      <c r="AN1" s="367"/>
      <c r="AO1" s="183"/>
    </row>
    <row r="2" spans="1:41" ht="26.25" thickBot="1" x14ac:dyDescent="0.3">
      <c r="A2" s="37" t="s">
        <v>108</v>
      </c>
      <c r="B2" s="368" t="s">
        <v>260</v>
      </c>
      <c r="C2" s="369"/>
      <c r="D2" s="369"/>
      <c r="E2" s="369"/>
      <c r="F2" s="369"/>
      <c r="G2" s="369"/>
      <c r="H2" s="373"/>
      <c r="J2" s="383"/>
      <c r="K2" s="384"/>
      <c r="L2" s="39" t="s">
        <v>194</v>
      </c>
      <c r="M2" s="394" t="s">
        <v>11</v>
      </c>
      <c r="N2" s="395"/>
      <c r="O2" s="395"/>
      <c r="P2" s="395"/>
      <c r="Q2" s="395"/>
      <c r="R2" s="395"/>
      <c r="S2" s="395"/>
      <c r="T2" s="396"/>
      <c r="U2" s="396"/>
      <c r="V2" s="396"/>
      <c r="W2" s="395"/>
      <c r="X2" s="395"/>
      <c r="Y2" s="395"/>
      <c r="Z2" s="397"/>
      <c r="AD2" s="2"/>
      <c r="AE2" s="294" t="s">
        <v>172</v>
      </c>
      <c r="AF2" s="294" t="s">
        <v>252</v>
      </c>
      <c r="AG2" s="294" t="s">
        <v>253</v>
      </c>
      <c r="AH2" s="295" t="s">
        <v>254</v>
      </c>
      <c r="AJ2" s="291" t="s">
        <v>36</v>
      </c>
      <c r="AK2" s="313" t="s">
        <v>125</v>
      </c>
      <c r="AL2" s="292" t="s">
        <v>172</v>
      </c>
      <c r="AM2" s="314" t="s">
        <v>256</v>
      </c>
      <c r="AN2" s="314" t="s">
        <v>257</v>
      </c>
    </row>
    <row r="3" spans="1:41" ht="15.75" thickBot="1" x14ac:dyDescent="0.3">
      <c r="A3" s="47" t="s">
        <v>70</v>
      </c>
      <c r="B3" s="48" t="s">
        <v>104</v>
      </c>
      <c r="C3" s="47" t="s">
        <v>105</v>
      </c>
      <c r="D3" s="49" t="s">
        <v>106</v>
      </c>
      <c r="E3" s="50" t="s">
        <v>130</v>
      </c>
      <c r="F3" s="51" t="s">
        <v>131</v>
      </c>
      <c r="G3" s="107" t="s">
        <v>217</v>
      </c>
      <c r="H3" s="374"/>
      <c r="J3" s="385"/>
      <c r="K3" s="386"/>
      <c r="L3" s="44" t="s">
        <v>188</v>
      </c>
      <c r="M3" s="45" t="s">
        <v>172</v>
      </c>
      <c r="N3" s="44" t="s">
        <v>189</v>
      </c>
      <c r="O3" s="46" t="s">
        <v>190</v>
      </c>
      <c r="P3" s="110" t="s">
        <v>173</v>
      </c>
      <c r="Q3" s="86" t="s">
        <v>217</v>
      </c>
      <c r="R3" s="87" t="s">
        <v>223</v>
      </c>
      <c r="S3" s="88" t="s">
        <v>224</v>
      </c>
      <c r="T3" s="97" t="s">
        <v>225</v>
      </c>
      <c r="U3" s="97" t="s">
        <v>227</v>
      </c>
      <c r="V3" s="137" t="s">
        <v>226</v>
      </c>
      <c r="W3" s="126" t="s">
        <v>191</v>
      </c>
      <c r="X3" s="89" t="s">
        <v>192</v>
      </c>
      <c r="Y3" s="109" t="s">
        <v>193</v>
      </c>
      <c r="Z3" s="89" t="s">
        <v>217</v>
      </c>
      <c r="AD3" s="2"/>
      <c r="AE3" s="309" t="s">
        <v>246</v>
      </c>
      <c r="AF3" s="186">
        <v>12</v>
      </c>
      <c r="AG3" s="310">
        <v>500</v>
      </c>
      <c r="AH3" s="307">
        <v>187000</v>
      </c>
      <c r="AJ3" s="315" t="s">
        <v>266</v>
      </c>
      <c r="AK3" s="316" t="s">
        <v>97</v>
      </c>
      <c r="AL3" s="317" t="s">
        <v>142</v>
      </c>
      <c r="AM3" s="318">
        <v>54</v>
      </c>
      <c r="AN3" s="319">
        <v>2160</v>
      </c>
    </row>
    <row r="4" spans="1:41" ht="15" customHeight="1" thickBot="1" x14ac:dyDescent="0.3">
      <c r="F4" s="105"/>
      <c r="J4" s="387"/>
      <c r="K4" s="388"/>
      <c r="R4" s="90"/>
      <c r="S4" s="93"/>
      <c r="T4" s="99"/>
      <c r="U4" s="98"/>
      <c r="V4" s="138"/>
      <c r="W4" s="140"/>
      <c r="X4" s="141"/>
      <c r="Y4" s="142"/>
      <c r="Z4" s="143"/>
      <c r="AB4" s="181" t="s">
        <v>205</v>
      </c>
      <c r="AE4" s="309" t="s">
        <v>161</v>
      </c>
      <c r="AF4" s="186">
        <v>8</v>
      </c>
      <c r="AG4" s="310">
        <v>2925</v>
      </c>
      <c r="AH4" s="307">
        <v>312500</v>
      </c>
    </row>
    <row r="5" spans="1:41" ht="15" customHeight="1" thickBot="1" x14ac:dyDescent="0.3">
      <c r="F5" s="105"/>
      <c r="J5" s="389"/>
      <c r="K5" s="390"/>
      <c r="R5" s="91"/>
      <c r="S5" s="94"/>
      <c r="T5" s="99"/>
      <c r="U5" s="98"/>
      <c r="X5" s="141"/>
      <c r="AB5" s="120" t="s">
        <v>231</v>
      </c>
      <c r="AE5" s="309" t="s">
        <v>144</v>
      </c>
      <c r="AF5" s="186">
        <v>8</v>
      </c>
      <c r="AG5" s="310">
        <v>1570</v>
      </c>
      <c r="AH5" s="307">
        <v>46130</v>
      </c>
    </row>
    <row r="6" spans="1:41" ht="15" customHeight="1" x14ac:dyDescent="0.25">
      <c r="F6" s="105"/>
      <c r="J6" s="375"/>
      <c r="K6" s="376"/>
      <c r="R6" s="91"/>
      <c r="S6" s="94"/>
      <c r="T6" s="99"/>
      <c r="U6" s="98"/>
      <c r="W6" s="140"/>
      <c r="X6" s="147"/>
      <c r="Y6" s="142"/>
      <c r="Z6" s="143"/>
      <c r="AB6" s="118" t="s">
        <v>232</v>
      </c>
      <c r="AE6" s="309" t="s">
        <v>164</v>
      </c>
      <c r="AF6" s="186">
        <v>8</v>
      </c>
      <c r="AG6" s="310">
        <v>1510</v>
      </c>
      <c r="AH6" s="307">
        <v>32400</v>
      </c>
    </row>
    <row r="7" spans="1:41" ht="15" customHeight="1" x14ac:dyDescent="0.25">
      <c r="F7" s="105"/>
      <c r="J7" s="377"/>
      <c r="K7" s="378"/>
      <c r="R7" s="91"/>
      <c r="S7" s="94"/>
      <c r="T7" s="99"/>
      <c r="U7" s="98"/>
      <c r="AB7" s="118" t="s">
        <v>233</v>
      </c>
      <c r="AE7" s="309" t="s">
        <v>136</v>
      </c>
      <c r="AF7" s="186">
        <v>7</v>
      </c>
      <c r="AG7" s="310">
        <v>830</v>
      </c>
      <c r="AH7" s="307">
        <v>57320</v>
      </c>
    </row>
    <row r="8" spans="1:41" ht="15" customHeight="1" thickBot="1" x14ac:dyDescent="0.3">
      <c r="F8" s="105"/>
      <c r="J8" s="379"/>
      <c r="K8" s="380"/>
      <c r="R8" s="91"/>
      <c r="S8" s="93"/>
      <c r="T8" s="99"/>
      <c r="U8" s="98"/>
      <c r="W8" s="140"/>
      <c r="X8" s="147"/>
      <c r="Y8" s="142"/>
      <c r="Z8" s="143"/>
      <c r="AB8" s="118" t="s">
        <v>234</v>
      </c>
      <c r="AE8" s="309" t="s">
        <v>143</v>
      </c>
      <c r="AF8" s="186">
        <v>7</v>
      </c>
      <c r="AG8" s="310">
        <v>620</v>
      </c>
      <c r="AH8" s="307">
        <v>110200</v>
      </c>
    </row>
    <row r="9" spans="1:41" ht="15" customHeight="1" x14ac:dyDescent="0.25">
      <c r="F9" s="105"/>
      <c r="R9" s="91"/>
      <c r="S9" s="94"/>
      <c r="T9" s="99"/>
      <c r="U9" s="98"/>
      <c r="AB9" s="118" t="s">
        <v>235</v>
      </c>
      <c r="AE9" s="309" t="s">
        <v>181</v>
      </c>
      <c r="AF9" s="186">
        <v>6</v>
      </c>
      <c r="AG9" s="310">
        <v>6820</v>
      </c>
      <c r="AH9" s="307">
        <v>112980</v>
      </c>
    </row>
    <row r="10" spans="1:41" ht="15" customHeight="1" x14ac:dyDescent="0.25">
      <c r="F10" s="105"/>
      <c r="R10" s="91"/>
      <c r="S10" s="93"/>
      <c r="T10" s="99"/>
      <c r="U10" s="98"/>
      <c r="W10" s="140"/>
      <c r="X10" s="147"/>
      <c r="Y10" s="142"/>
      <c r="Z10" s="143"/>
      <c r="AB10" s="118" t="s">
        <v>236</v>
      </c>
      <c r="AE10" s="309" t="s">
        <v>220</v>
      </c>
      <c r="AF10" s="186">
        <v>6</v>
      </c>
      <c r="AG10" s="310">
        <v>330</v>
      </c>
      <c r="AH10" s="307">
        <v>29700</v>
      </c>
    </row>
    <row r="11" spans="1:41" ht="15" customHeight="1" x14ac:dyDescent="0.25">
      <c r="F11" s="105"/>
      <c r="R11" s="91"/>
      <c r="S11" s="94"/>
      <c r="T11" s="99"/>
      <c r="U11" s="98"/>
      <c r="AB11" s="118" t="s">
        <v>249</v>
      </c>
      <c r="AE11" s="309" t="s">
        <v>219</v>
      </c>
      <c r="AF11" s="186">
        <v>6</v>
      </c>
      <c r="AG11" s="310">
        <v>302</v>
      </c>
      <c r="AH11" s="307">
        <v>225810</v>
      </c>
    </row>
    <row r="12" spans="1:41" ht="15" customHeight="1" thickBot="1" x14ac:dyDescent="0.3">
      <c r="F12" s="105"/>
      <c r="R12" s="91"/>
      <c r="T12" s="99"/>
      <c r="U12" s="98"/>
      <c r="Z12" s="143"/>
      <c r="AB12" s="119"/>
      <c r="AE12" s="309" t="s">
        <v>150</v>
      </c>
      <c r="AF12" s="186">
        <v>5</v>
      </c>
      <c r="AG12" s="310">
        <v>750</v>
      </c>
      <c r="AH12" s="307">
        <v>24450</v>
      </c>
    </row>
    <row r="13" spans="1:41" ht="15" customHeight="1" x14ac:dyDescent="0.25">
      <c r="F13" s="105"/>
      <c r="R13" s="91"/>
      <c r="AE13" s="309" t="s">
        <v>135</v>
      </c>
      <c r="AF13" s="186">
        <v>5</v>
      </c>
      <c r="AG13" s="310">
        <v>450</v>
      </c>
      <c r="AH13" s="307">
        <v>6290</v>
      </c>
    </row>
    <row r="14" spans="1:41" ht="15" customHeight="1" x14ac:dyDescent="0.25">
      <c r="F14" s="105"/>
      <c r="N14" s="96"/>
      <c r="R14" s="91"/>
      <c r="Z14" s="143"/>
      <c r="AE14" s="309" t="s">
        <v>218</v>
      </c>
      <c r="AF14" s="186">
        <v>5</v>
      </c>
      <c r="AG14" s="310">
        <v>330</v>
      </c>
      <c r="AH14" s="307">
        <v>51200</v>
      </c>
    </row>
    <row r="15" spans="1:41" ht="15" customHeight="1" x14ac:dyDescent="0.25">
      <c r="F15" s="105"/>
      <c r="R15" s="91"/>
      <c r="AE15" s="309" t="s">
        <v>138</v>
      </c>
      <c r="AF15" s="186">
        <v>5</v>
      </c>
      <c r="AG15" s="310">
        <v>320</v>
      </c>
      <c r="AH15" s="307">
        <v>160650</v>
      </c>
    </row>
    <row r="16" spans="1:41" ht="15" customHeight="1" x14ac:dyDescent="0.25">
      <c r="F16" s="105"/>
      <c r="R16" s="91"/>
      <c r="Z16" s="143"/>
      <c r="AE16" s="309" t="s">
        <v>171</v>
      </c>
      <c r="AF16" s="186">
        <v>5</v>
      </c>
      <c r="AG16" s="310">
        <v>240</v>
      </c>
      <c r="AH16" s="307">
        <v>369000</v>
      </c>
    </row>
    <row r="17" spans="6:34" ht="15" customHeight="1" x14ac:dyDescent="0.25">
      <c r="F17" s="105"/>
      <c r="R17" s="91"/>
      <c r="AE17" s="309" t="s">
        <v>158</v>
      </c>
      <c r="AF17" s="186">
        <v>4</v>
      </c>
      <c r="AG17" s="310">
        <v>1790</v>
      </c>
      <c r="AH17" s="307">
        <v>50250</v>
      </c>
    </row>
    <row r="18" spans="6:34" ht="15" customHeight="1" x14ac:dyDescent="0.25">
      <c r="F18" s="105"/>
      <c r="R18" s="91"/>
      <c r="Z18" s="143"/>
      <c r="AE18" s="309" t="s">
        <v>152</v>
      </c>
      <c r="AF18" s="186">
        <v>4</v>
      </c>
      <c r="AG18" s="310">
        <v>600</v>
      </c>
      <c r="AH18" s="307">
        <v>21400</v>
      </c>
    </row>
    <row r="19" spans="6:34" ht="15" customHeight="1" x14ac:dyDescent="0.25">
      <c r="F19" s="105"/>
      <c r="R19" s="91"/>
      <c r="AE19" s="309" t="s">
        <v>163</v>
      </c>
      <c r="AF19" s="186">
        <v>4</v>
      </c>
      <c r="AG19" s="310">
        <v>560</v>
      </c>
      <c r="AH19" s="307">
        <v>35080</v>
      </c>
    </row>
    <row r="20" spans="6:34" ht="15" customHeight="1" x14ac:dyDescent="0.25">
      <c r="F20" s="105"/>
      <c r="R20" s="91"/>
      <c r="Z20" s="143"/>
      <c r="AE20" s="309" t="s">
        <v>167</v>
      </c>
      <c r="AF20" s="186">
        <v>4</v>
      </c>
      <c r="AG20" s="310">
        <v>500</v>
      </c>
      <c r="AH20" s="307">
        <v>142500</v>
      </c>
    </row>
    <row r="21" spans="6:34" ht="15" customHeight="1" x14ac:dyDescent="0.25">
      <c r="F21" s="105"/>
      <c r="R21" s="91"/>
      <c r="AE21" s="309" t="s">
        <v>147</v>
      </c>
      <c r="AF21" s="186">
        <v>4</v>
      </c>
      <c r="AG21" s="310">
        <v>155</v>
      </c>
      <c r="AH21" s="307">
        <v>11940</v>
      </c>
    </row>
    <row r="22" spans="6:34" ht="15" customHeight="1" thickBot="1" x14ac:dyDescent="0.3">
      <c r="F22" s="105"/>
      <c r="R22" s="91"/>
      <c r="Z22" s="143"/>
      <c r="AE22" s="311" t="s">
        <v>157</v>
      </c>
      <c r="AF22" s="187">
        <v>3</v>
      </c>
      <c r="AG22" s="312">
        <v>91200</v>
      </c>
      <c r="AH22" s="308">
        <v>48100</v>
      </c>
    </row>
    <row r="23" spans="6:34" ht="15" customHeight="1" x14ac:dyDescent="0.25">
      <c r="F23" s="105"/>
      <c r="R23" s="91"/>
      <c r="AF23" s="184"/>
      <c r="AG23" s="184"/>
    </row>
    <row r="24" spans="6:34" ht="15" customHeight="1" x14ac:dyDescent="0.25">
      <c r="F24" s="105"/>
      <c r="R24" s="91"/>
      <c r="Z24" s="143"/>
    </row>
    <row r="25" spans="6:34" ht="15" customHeight="1" x14ac:dyDescent="0.25">
      <c r="F25" s="105"/>
      <c r="R25" s="91"/>
    </row>
    <row r="26" spans="6:34" ht="15" customHeight="1" x14ac:dyDescent="0.25">
      <c r="F26" s="105"/>
      <c r="R26" s="91"/>
      <c r="Z26" s="143"/>
    </row>
    <row r="27" spans="6:34" ht="15" customHeight="1" x14ac:dyDescent="0.25">
      <c r="F27" s="105"/>
      <c r="R27" s="91"/>
    </row>
    <row r="28" spans="6:34" ht="15" customHeight="1" x14ac:dyDescent="0.25">
      <c r="F28" s="105"/>
      <c r="R28" s="91"/>
      <c r="Z28" s="143"/>
    </row>
    <row r="29" spans="6:34" ht="15" customHeight="1" x14ac:dyDescent="0.25">
      <c r="F29" s="105"/>
      <c r="R29" s="91"/>
    </row>
    <row r="30" spans="6:34" ht="15" customHeight="1" x14ac:dyDescent="0.25">
      <c r="F30" s="105"/>
      <c r="R30" s="91"/>
    </row>
    <row r="31" spans="6:34" ht="15" customHeight="1" x14ac:dyDescent="0.25">
      <c r="F31" s="105"/>
      <c r="R31" s="91"/>
    </row>
    <row r="32" spans="6:34" ht="15" customHeight="1" x14ac:dyDescent="0.25">
      <c r="F32" s="105"/>
      <c r="R32" s="91"/>
    </row>
    <row r="33" spans="6:18" ht="15" customHeight="1" x14ac:dyDescent="0.25">
      <c r="F33" s="105"/>
      <c r="R33" s="91"/>
    </row>
    <row r="34" spans="6:18" ht="15" customHeight="1" x14ac:dyDescent="0.25">
      <c r="F34" s="105"/>
      <c r="R34" s="91"/>
    </row>
    <row r="35" spans="6:18" ht="15" customHeight="1" x14ac:dyDescent="0.25">
      <c r="F35" s="105"/>
      <c r="R35" s="91"/>
    </row>
    <row r="36" spans="6:18" ht="15" customHeight="1" x14ac:dyDescent="0.25">
      <c r="F36" s="105"/>
      <c r="R36" s="91"/>
    </row>
    <row r="37" spans="6:18" ht="15" customHeight="1" x14ac:dyDescent="0.25">
      <c r="F37" s="105"/>
      <c r="R37" s="91"/>
    </row>
    <row r="38" spans="6:18" ht="15" customHeight="1" x14ac:dyDescent="0.25">
      <c r="F38" s="105"/>
      <c r="R38" s="91"/>
    </row>
    <row r="39" spans="6:18" ht="15" customHeight="1" x14ac:dyDescent="0.25">
      <c r="F39" s="105"/>
      <c r="R39" s="91"/>
    </row>
    <row r="40" spans="6:18" ht="15" customHeight="1" x14ac:dyDescent="0.25">
      <c r="F40" s="105"/>
      <c r="R40" s="91"/>
    </row>
    <row r="41" spans="6:18" ht="15" customHeight="1" x14ac:dyDescent="0.25">
      <c r="F41" s="105"/>
      <c r="R41" s="91"/>
    </row>
    <row r="42" spans="6:18" ht="15" customHeight="1" x14ac:dyDescent="0.25">
      <c r="F42" s="105"/>
      <c r="R42" s="91"/>
    </row>
    <row r="43" spans="6:18" ht="15" customHeight="1" x14ac:dyDescent="0.25">
      <c r="F43" s="105"/>
      <c r="N43" s="96"/>
      <c r="R43" s="91"/>
    </row>
    <row r="44" spans="6:18" ht="15" customHeight="1" x14ac:dyDescent="0.25">
      <c r="F44" s="105"/>
      <c r="R44" s="91"/>
    </row>
    <row r="45" spans="6:18" ht="15" customHeight="1" x14ac:dyDescent="0.25">
      <c r="F45" s="105"/>
      <c r="R45" s="91"/>
    </row>
    <row r="46" spans="6:18" ht="15" customHeight="1" x14ac:dyDescent="0.25">
      <c r="F46" s="105"/>
      <c r="R46" s="91"/>
    </row>
    <row r="47" spans="6:18" ht="15" customHeight="1" x14ac:dyDescent="0.25">
      <c r="F47" s="105"/>
      <c r="R47" s="91"/>
    </row>
    <row r="48" spans="6:18" ht="15" customHeight="1" x14ac:dyDescent="0.25">
      <c r="F48" s="105"/>
      <c r="R48" s="91"/>
    </row>
    <row r="49" spans="6:18" ht="15" customHeight="1" x14ac:dyDescent="0.25">
      <c r="F49" s="105"/>
      <c r="R49" s="91"/>
    </row>
    <row r="50" spans="6:18" ht="15" customHeight="1" x14ac:dyDescent="0.25">
      <c r="F50" s="105"/>
      <c r="R50" s="91"/>
    </row>
    <row r="51" spans="6:18" ht="15" customHeight="1" x14ac:dyDescent="0.25">
      <c r="F51" s="105"/>
      <c r="R51" s="91"/>
    </row>
    <row r="52" spans="6:18" ht="15" customHeight="1" x14ac:dyDescent="0.25">
      <c r="F52" s="105"/>
      <c r="R52" s="91"/>
    </row>
    <row r="53" spans="6:18" ht="15" customHeight="1" x14ac:dyDescent="0.25">
      <c r="F53" s="105"/>
      <c r="R53" s="91"/>
    </row>
    <row r="54" spans="6:18" x14ac:dyDescent="0.25">
      <c r="F54" s="105"/>
      <c r="R54" s="91"/>
    </row>
    <row r="55" spans="6:18" x14ac:dyDescent="0.25">
      <c r="F55" s="105"/>
      <c r="R55" s="91"/>
    </row>
    <row r="56" spans="6:18" x14ac:dyDescent="0.25">
      <c r="F56" s="105"/>
      <c r="R56" s="91"/>
    </row>
    <row r="57" spans="6:18" x14ac:dyDescent="0.25">
      <c r="F57" s="105"/>
      <c r="R57" s="91"/>
    </row>
    <row r="58" spans="6:18" x14ac:dyDescent="0.25">
      <c r="F58" s="105"/>
      <c r="R58" s="91"/>
    </row>
    <row r="59" spans="6:18" x14ac:dyDescent="0.25">
      <c r="F59" s="105"/>
      <c r="R59" s="91"/>
    </row>
    <row r="60" spans="6:18" x14ac:dyDescent="0.25">
      <c r="F60" s="105"/>
      <c r="R60" s="91"/>
    </row>
    <row r="61" spans="6:18" x14ac:dyDescent="0.25">
      <c r="F61" s="105"/>
      <c r="R61" s="91"/>
    </row>
    <row r="62" spans="6:18" x14ac:dyDescent="0.25">
      <c r="F62" s="105"/>
      <c r="R62" s="91"/>
    </row>
    <row r="63" spans="6:18" x14ac:dyDescent="0.25">
      <c r="F63" s="105"/>
      <c r="R63" s="91"/>
    </row>
    <row r="64" spans="6:18" x14ac:dyDescent="0.25">
      <c r="F64" s="105"/>
      <c r="R64" s="91"/>
    </row>
    <row r="65" spans="6:18" x14ac:dyDescent="0.25">
      <c r="F65" s="105"/>
      <c r="R65" s="91"/>
    </row>
    <row r="66" spans="6:18" x14ac:dyDescent="0.25">
      <c r="F66" s="105"/>
      <c r="R66" s="91"/>
    </row>
    <row r="67" spans="6:18" x14ac:dyDescent="0.25">
      <c r="F67" s="105"/>
      <c r="R67" s="91"/>
    </row>
    <row r="68" spans="6:18" x14ac:dyDescent="0.25">
      <c r="F68" s="105"/>
      <c r="R68" s="91"/>
    </row>
    <row r="69" spans="6:18" x14ac:dyDescent="0.25">
      <c r="F69" s="105"/>
      <c r="R69" s="91"/>
    </row>
    <row r="70" spans="6:18" x14ac:dyDescent="0.25">
      <c r="F70" s="105"/>
      <c r="R70" s="91"/>
    </row>
    <row r="71" spans="6:18" x14ac:dyDescent="0.25">
      <c r="F71" s="105"/>
      <c r="R71" s="91"/>
    </row>
    <row r="72" spans="6:18" x14ac:dyDescent="0.25">
      <c r="F72" s="105"/>
      <c r="R72" s="91"/>
    </row>
    <row r="73" spans="6:18" x14ac:dyDescent="0.25">
      <c r="F73" s="105"/>
      <c r="R73" s="91"/>
    </row>
    <row r="74" spans="6:18" x14ac:dyDescent="0.25">
      <c r="F74" s="105"/>
      <c r="R74" s="91"/>
    </row>
    <row r="75" spans="6:18" x14ac:dyDescent="0.25">
      <c r="F75" s="105"/>
      <c r="R75" s="91"/>
    </row>
    <row r="76" spans="6:18" x14ac:dyDescent="0.25">
      <c r="F76" s="105"/>
      <c r="R76" s="91"/>
    </row>
    <row r="77" spans="6:18" x14ac:dyDescent="0.25">
      <c r="F77" s="105"/>
      <c r="R77" s="91"/>
    </row>
    <row r="78" spans="6:18" x14ac:dyDescent="0.25">
      <c r="F78" s="105"/>
      <c r="R78" s="91"/>
    </row>
    <row r="79" spans="6:18" x14ac:dyDescent="0.25">
      <c r="F79" s="105"/>
      <c r="R79" s="91"/>
    </row>
    <row r="80" spans="6:18" x14ac:dyDescent="0.25">
      <c r="F80" s="105"/>
      <c r="R80" s="91"/>
    </row>
    <row r="81" spans="6:18" x14ac:dyDescent="0.25">
      <c r="F81" s="105"/>
      <c r="R81" s="91"/>
    </row>
    <row r="82" spans="6:18" x14ac:dyDescent="0.25">
      <c r="F82" s="105"/>
      <c r="R82" s="91"/>
    </row>
    <row r="83" spans="6:18" x14ac:dyDescent="0.25">
      <c r="F83" s="105"/>
      <c r="R83" s="91"/>
    </row>
    <row r="84" spans="6:18" x14ac:dyDescent="0.25">
      <c r="F84" s="105"/>
      <c r="R84" s="91"/>
    </row>
    <row r="85" spans="6:18" x14ac:dyDescent="0.25">
      <c r="F85" s="105"/>
      <c r="R85" s="91"/>
    </row>
    <row r="86" spans="6:18" x14ac:dyDescent="0.25">
      <c r="F86" s="105"/>
      <c r="R86" s="91"/>
    </row>
    <row r="87" spans="6:18" x14ac:dyDescent="0.25">
      <c r="F87" s="105"/>
      <c r="R87" s="91"/>
    </row>
    <row r="88" spans="6:18" x14ac:dyDescent="0.25">
      <c r="F88" s="105"/>
      <c r="R88" s="91"/>
    </row>
    <row r="89" spans="6:18" x14ac:dyDescent="0.25">
      <c r="F89" s="105"/>
      <c r="R89" s="91"/>
    </row>
    <row r="90" spans="6:18" x14ac:dyDescent="0.25">
      <c r="F90" s="105"/>
      <c r="R90" s="91"/>
    </row>
    <row r="91" spans="6:18" x14ac:dyDescent="0.25">
      <c r="F91" s="105"/>
      <c r="R91" s="91"/>
    </row>
    <row r="92" spans="6:18" x14ac:dyDescent="0.25">
      <c r="F92" s="105"/>
      <c r="R92" s="91"/>
    </row>
    <row r="93" spans="6:18" x14ac:dyDescent="0.25">
      <c r="F93" s="105"/>
      <c r="R93" s="91"/>
    </row>
    <row r="94" spans="6:18" x14ac:dyDescent="0.25">
      <c r="F94" s="105"/>
      <c r="R94" s="91"/>
    </row>
    <row r="95" spans="6:18" x14ac:dyDescent="0.25">
      <c r="F95" s="105"/>
      <c r="R95" s="91"/>
    </row>
    <row r="96" spans="6:18" x14ac:dyDescent="0.25">
      <c r="F96" s="105"/>
      <c r="R96" s="91"/>
    </row>
    <row r="97" spans="6:18" x14ac:dyDescent="0.25">
      <c r="F97" s="105"/>
      <c r="R97" s="91"/>
    </row>
    <row r="98" spans="6:18" x14ac:dyDescent="0.25">
      <c r="F98" s="105"/>
      <c r="R98" s="91"/>
    </row>
    <row r="99" spans="6:18" x14ac:dyDescent="0.25">
      <c r="F99" s="105"/>
      <c r="R99" s="91"/>
    </row>
    <row r="100" spans="6:18" x14ac:dyDescent="0.25">
      <c r="F100" s="105"/>
      <c r="R100" s="91"/>
    </row>
    <row r="101" spans="6:18" x14ac:dyDescent="0.25">
      <c r="F101" s="105"/>
      <c r="R101" s="91"/>
    </row>
    <row r="102" spans="6:18" x14ac:dyDescent="0.25">
      <c r="F102" s="105"/>
      <c r="R102" s="91"/>
    </row>
    <row r="103" spans="6:18" x14ac:dyDescent="0.25">
      <c r="F103" s="105"/>
      <c r="R103" s="91"/>
    </row>
    <row r="104" spans="6:18" x14ac:dyDescent="0.25">
      <c r="F104" s="105"/>
      <c r="R104" s="91"/>
    </row>
    <row r="105" spans="6:18" x14ac:dyDescent="0.25">
      <c r="F105" s="105"/>
      <c r="R105" s="91"/>
    </row>
    <row r="106" spans="6:18" x14ac:dyDescent="0.25">
      <c r="F106" s="105"/>
      <c r="R106" s="91"/>
    </row>
    <row r="107" spans="6:18" x14ac:dyDescent="0.25">
      <c r="F107" s="105"/>
      <c r="R107" s="91"/>
    </row>
    <row r="108" spans="6:18" x14ac:dyDescent="0.25">
      <c r="F108" s="105"/>
      <c r="R108" s="91"/>
    </row>
    <row r="109" spans="6:18" x14ac:dyDescent="0.25">
      <c r="F109" s="105"/>
      <c r="R109" s="91"/>
    </row>
    <row r="110" spans="6:18" x14ac:dyDescent="0.25">
      <c r="F110" s="105"/>
      <c r="R110" s="91"/>
    </row>
    <row r="111" spans="6:18" x14ac:dyDescent="0.25">
      <c r="F111" s="105"/>
      <c r="R111" s="91"/>
    </row>
    <row r="112" spans="6:18" x14ac:dyDescent="0.25">
      <c r="F112" s="105"/>
      <c r="R112" s="91"/>
    </row>
    <row r="113" spans="6:18" x14ac:dyDescent="0.25">
      <c r="F113" s="105"/>
      <c r="R113" s="91"/>
    </row>
    <row r="114" spans="6:18" x14ac:dyDescent="0.25">
      <c r="F114" s="105"/>
      <c r="R114" s="91"/>
    </row>
    <row r="115" spans="6:18" x14ac:dyDescent="0.25">
      <c r="F115" s="105"/>
      <c r="R115" s="91"/>
    </row>
    <row r="116" spans="6:18" x14ac:dyDescent="0.25">
      <c r="F116" s="105"/>
      <c r="R116" s="91"/>
    </row>
    <row r="117" spans="6:18" x14ac:dyDescent="0.25">
      <c r="F117" s="105"/>
      <c r="R117" s="91"/>
    </row>
    <row r="118" spans="6:18" x14ac:dyDescent="0.25">
      <c r="F118" s="105"/>
      <c r="R118" s="91"/>
    </row>
    <row r="119" spans="6:18" x14ac:dyDescent="0.25">
      <c r="F119" s="105"/>
      <c r="R119" s="91"/>
    </row>
    <row r="120" spans="6:18" x14ac:dyDescent="0.25">
      <c r="F120" s="105"/>
      <c r="R120" s="91"/>
    </row>
    <row r="121" spans="6:18" x14ac:dyDescent="0.25">
      <c r="F121" s="105"/>
      <c r="R121" s="91"/>
    </row>
    <row r="122" spans="6:18" x14ac:dyDescent="0.25">
      <c r="F122" s="105"/>
      <c r="R122" s="91"/>
    </row>
    <row r="123" spans="6:18" x14ac:dyDescent="0.25">
      <c r="F123" s="105"/>
      <c r="R123" s="91"/>
    </row>
    <row r="124" spans="6:18" x14ac:dyDescent="0.25">
      <c r="F124" s="105"/>
      <c r="R124" s="91"/>
    </row>
    <row r="125" spans="6:18" x14ac:dyDescent="0.25">
      <c r="F125" s="105"/>
      <c r="R125" s="91"/>
    </row>
    <row r="126" spans="6:18" x14ac:dyDescent="0.25">
      <c r="F126" s="105"/>
      <c r="R126" s="91"/>
    </row>
    <row r="127" spans="6:18" x14ac:dyDescent="0.25">
      <c r="F127" s="105"/>
      <c r="R127" s="91"/>
    </row>
    <row r="128" spans="6:18" x14ac:dyDescent="0.25">
      <c r="F128" s="105"/>
      <c r="R128" s="91"/>
    </row>
    <row r="129" spans="6:18" x14ac:dyDescent="0.25">
      <c r="F129" s="105"/>
      <c r="R129" s="91"/>
    </row>
    <row r="130" spans="6:18" x14ac:dyDescent="0.25">
      <c r="F130" s="105"/>
      <c r="R130" s="91"/>
    </row>
    <row r="131" spans="6:18" x14ac:dyDescent="0.25">
      <c r="F131" s="105"/>
      <c r="R131" s="91"/>
    </row>
    <row r="132" spans="6:18" x14ac:dyDescent="0.25">
      <c r="F132" s="105"/>
      <c r="R132" s="91"/>
    </row>
    <row r="133" spans="6:18" x14ac:dyDescent="0.25">
      <c r="F133" s="105"/>
      <c r="R133" s="91"/>
    </row>
    <row r="134" spans="6:18" x14ac:dyDescent="0.25">
      <c r="F134" s="105"/>
      <c r="R134" s="91"/>
    </row>
    <row r="135" spans="6:18" x14ac:dyDescent="0.25">
      <c r="F135" s="105"/>
      <c r="R135" s="91"/>
    </row>
    <row r="136" spans="6:18" x14ac:dyDescent="0.25">
      <c r="F136" s="105"/>
      <c r="R136" s="91"/>
    </row>
    <row r="137" spans="6:18" x14ac:dyDescent="0.25">
      <c r="F137" s="105"/>
      <c r="R137" s="91"/>
    </row>
    <row r="138" spans="6:18" x14ac:dyDescent="0.25">
      <c r="F138" s="105"/>
      <c r="R138" s="91"/>
    </row>
    <row r="139" spans="6:18" x14ac:dyDescent="0.25">
      <c r="F139" s="105"/>
      <c r="R139" s="91"/>
    </row>
    <row r="140" spans="6:18" x14ac:dyDescent="0.25">
      <c r="F140" s="105"/>
      <c r="R140" s="91"/>
    </row>
    <row r="141" spans="6:18" x14ac:dyDescent="0.25">
      <c r="F141" s="105"/>
      <c r="R141" s="91"/>
    </row>
    <row r="142" spans="6:18" x14ac:dyDescent="0.25">
      <c r="F142" s="105"/>
      <c r="R142" s="91"/>
    </row>
    <row r="143" spans="6:18" x14ac:dyDescent="0.25">
      <c r="F143" s="105"/>
      <c r="R143" s="91"/>
    </row>
    <row r="144" spans="6:18" x14ac:dyDescent="0.25">
      <c r="F144" s="105"/>
      <c r="R144" s="91"/>
    </row>
    <row r="145" spans="6:18" x14ac:dyDescent="0.25">
      <c r="F145" s="105"/>
      <c r="R145" s="91"/>
    </row>
    <row r="146" spans="6:18" x14ac:dyDescent="0.25">
      <c r="F146" s="105"/>
      <c r="R146" s="91"/>
    </row>
    <row r="147" spans="6:18" x14ac:dyDescent="0.25">
      <c r="F147" s="105"/>
      <c r="R147" s="91"/>
    </row>
    <row r="148" spans="6:18" x14ac:dyDescent="0.25">
      <c r="F148" s="105"/>
      <c r="R148" s="91"/>
    </row>
    <row r="149" spans="6:18" x14ac:dyDescent="0.25">
      <c r="F149" s="105"/>
      <c r="R149" s="91"/>
    </row>
    <row r="150" spans="6:18" x14ac:dyDescent="0.25">
      <c r="F150" s="105"/>
      <c r="R150" s="91"/>
    </row>
    <row r="151" spans="6:18" x14ac:dyDescent="0.25">
      <c r="F151" s="105"/>
      <c r="R151" s="91"/>
    </row>
    <row r="152" spans="6:18" x14ac:dyDescent="0.25">
      <c r="F152" s="105"/>
      <c r="R152" s="91"/>
    </row>
    <row r="153" spans="6:18" x14ac:dyDescent="0.25">
      <c r="F153" s="105"/>
      <c r="R153" s="91"/>
    </row>
    <row r="154" spans="6:18" x14ac:dyDescent="0.25">
      <c r="F154" s="105"/>
      <c r="R154" s="91"/>
    </row>
    <row r="155" spans="6:18" x14ac:dyDescent="0.25">
      <c r="F155" s="105"/>
      <c r="R155" s="91"/>
    </row>
    <row r="156" spans="6:18" x14ac:dyDescent="0.25">
      <c r="F156" s="105"/>
      <c r="R156" s="91"/>
    </row>
    <row r="157" spans="6:18" x14ac:dyDescent="0.25">
      <c r="F157" s="105"/>
      <c r="R157" s="91"/>
    </row>
    <row r="158" spans="6:18" x14ac:dyDescent="0.25">
      <c r="F158" s="105"/>
      <c r="R158" s="91"/>
    </row>
    <row r="159" spans="6:18" x14ac:dyDescent="0.25">
      <c r="F159" s="105"/>
      <c r="R159" s="91"/>
    </row>
    <row r="160" spans="6:18" x14ac:dyDescent="0.25">
      <c r="F160" s="105"/>
      <c r="R160" s="91"/>
    </row>
    <row r="161" spans="6:18" x14ac:dyDescent="0.25">
      <c r="F161" s="105"/>
      <c r="R161" s="91"/>
    </row>
    <row r="162" spans="6:18" x14ac:dyDescent="0.25">
      <c r="F162" s="105"/>
      <c r="R162" s="91"/>
    </row>
    <row r="163" spans="6:18" x14ac:dyDescent="0.25">
      <c r="F163" s="105"/>
      <c r="R163" s="91"/>
    </row>
    <row r="164" spans="6:18" x14ac:dyDescent="0.25">
      <c r="F164" s="105"/>
      <c r="R164" s="91"/>
    </row>
    <row r="165" spans="6:18" x14ac:dyDescent="0.25">
      <c r="F165" s="105"/>
      <c r="R165" s="91"/>
    </row>
    <row r="166" spans="6:18" x14ac:dyDescent="0.25">
      <c r="F166" s="105"/>
      <c r="R166" s="91"/>
    </row>
    <row r="167" spans="6:18" x14ac:dyDescent="0.25">
      <c r="F167" s="105"/>
      <c r="R167" s="91"/>
    </row>
    <row r="168" spans="6:18" x14ac:dyDescent="0.25">
      <c r="F168" s="105"/>
      <c r="R168" s="91"/>
    </row>
    <row r="169" spans="6:18" x14ac:dyDescent="0.25">
      <c r="F169" s="105"/>
      <c r="R169" s="91"/>
    </row>
    <row r="170" spans="6:18" x14ac:dyDescent="0.25">
      <c r="F170" s="105"/>
      <c r="R170" s="91"/>
    </row>
    <row r="171" spans="6:18" x14ac:dyDescent="0.25">
      <c r="F171" s="105"/>
      <c r="R171" s="91"/>
    </row>
    <row r="172" spans="6:18" x14ac:dyDescent="0.25">
      <c r="F172" s="105"/>
      <c r="R172" s="91"/>
    </row>
    <row r="173" spans="6:18" x14ac:dyDescent="0.25">
      <c r="F173" s="105"/>
      <c r="R173" s="91"/>
    </row>
    <row r="174" spans="6:18" x14ac:dyDescent="0.25">
      <c r="F174" s="105"/>
      <c r="R174" s="91"/>
    </row>
    <row r="175" spans="6:18" x14ac:dyDescent="0.25">
      <c r="F175" s="105"/>
      <c r="R175" s="91"/>
    </row>
    <row r="176" spans="6:18" x14ac:dyDescent="0.25">
      <c r="F176" s="105"/>
      <c r="R176" s="91"/>
    </row>
    <row r="177" spans="6:18" x14ac:dyDescent="0.25">
      <c r="F177" s="105"/>
      <c r="R177" s="91"/>
    </row>
    <row r="178" spans="6:18" x14ac:dyDescent="0.25">
      <c r="F178" s="105"/>
      <c r="R178" s="91"/>
    </row>
    <row r="179" spans="6:18" x14ac:dyDescent="0.25">
      <c r="F179" s="105"/>
      <c r="R179" s="91"/>
    </row>
    <row r="180" spans="6:18" x14ac:dyDescent="0.25">
      <c r="F180" s="105"/>
      <c r="R180" s="91"/>
    </row>
    <row r="181" spans="6:18" x14ac:dyDescent="0.25">
      <c r="F181" s="105"/>
      <c r="R181" s="91"/>
    </row>
    <row r="182" spans="6:18" x14ac:dyDescent="0.25">
      <c r="F182" s="105"/>
      <c r="R182" s="91"/>
    </row>
    <row r="183" spans="6:18" x14ac:dyDescent="0.25">
      <c r="F183" s="105"/>
      <c r="R183" s="91"/>
    </row>
    <row r="184" spans="6:18" x14ac:dyDescent="0.25">
      <c r="F184" s="105"/>
      <c r="R184" s="91"/>
    </row>
    <row r="185" spans="6:18" x14ac:dyDescent="0.25">
      <c r="F185" s="105"/>
      <c r="R185" s="91"/>
    </row>
    <row r="186" spans="6:18" x14ac:dyDescent="0.25">
      <c r="F186" s="105"/>
      <c r="R186" s="91"/>
    </row>
    <row r="187" spans="6:18" x14ac:dyDescent="0.25">
      <c r="F187" s="105"/>
      <c r="R187" s="91"/>
    </row>
    <row r="188" spans="6:18" x14ac:dyDescent="0.25">
      <c r="F188" s="105"/>
      <c r="R188" s="91"/>
    </row>
    <row r="189" spans="6:18" x14ac:dyDescent="0.25">
      <c r="F189" s="105"/>
      <c r="R189" s="91"/>
    </row>
    <row r="190" spans="6:18" x14ac:dyDescent="0.25">
      <c r="F190" s="105"/>
      <c r="R190" s="91"/>
    </row>
    <row r="191" spans="6:18" x14ac:dyDescent="0.25">
      <c r="F191" s="105"/>
      <c r="R191" s="91"/>
    </row>
    <row r="192" spans="6:18" x14ac:dyDescent="0.25">
      <c r="F192" s="105"/>
      <c r="R192" s="91"/>
    </row>
    <row r="193" spans="6:18" x14ac:dyDescent="0.25">
      <c r="F193" s="105"/>
      <c r="R193" s="91"/>
    </row>
    <row r="194" spans="6:18" x14ac:dyDescent="0.25">
      <c r="F194" s="105"/>
      <c r="R194" s="91"/>
    </row>
    <row r="195" spans="6:18" x14ac:dyDescent="0.25">
      <c r="F195" s="105"/>
      <c r="R195" s="91"/>
    </row>
    <row r="196" spans="6:18" x14ac:dyDescent="0.25">
      <c r="F196" s="105"/>
      <c r="R196" s="91"/>
    </row>
    <row r="197" spans="6:18" x14ac:dyDescent="0.25">
      <c r="F197" s="105"/>
      <c r="R197" s="91"/>
    </row>
    <row r="198" spans="6:18" x14ac:dyDescent="0.25">
      <c r="F198" s="105"/>
      <c r="R198" s="91"/>
    </row>
    <row r="199" spans="6:18" x14ac:dyDescent="0.25">
      <c r="F199" s="105"/>
      <c r="R199" s="91"/>
    </row>
    <row r="200" spans="6:18" x14ac:dyDescent="0.25">
      <c r="F200" s="105"/>
      <c r="R200" s="91"/>
    </row>
    <row r="201" spans="6:18" x14ac:dyDescent="0.25">
      <c r="F201" s="105"/>
      <c r="R201" s="91"/>
    </row>
    <row r="202" spans="6:18" x14ac:dyDescent="0.25">
      <c r="F202" s="105"/>
      <c r="R202" s="91"/>
    </row>
    <row r="203" spans="6:18" x14ac:dyDescent="0.25">
      <c r="F203" s="105"/>
      <c r="R203" s="91"/>
    </row>
    <row r="204" spans="6:18" x14ac:dyDescent="0.25">
      <c r="F204" s="105"/>
      <c r="R204" s="91"/>
    </row>
    <row r="205" spans="6:18" x14ac:dyDescent="0.25">
      <c r="F205" s="105"/>
      <c r="R205" s="91"/>
    </row>
    <row r="206" spans="6:18" x14ac:dyDescent="0.25">
      <c r="F206" s="105"/>
      <c r="R206" s="91"/>
    </row>
    <row r="207" spans="6:18" x14ac:dyDescent="0.25">
      <c r="F207" s="105"/>
      <c r="R207" s="91"/>
    </row>
    <row r="208" spans="6:18" x14ac:dyDescent="0.25">
      <c r="F208" s="105"/>
      <c r="R208" s="91"/>
    </row>
    <row r="209" spans="6:18" x14ac:dyDescent="0.25">
      <c r="F209" s="105"/>
      <c r="R209" s="91"/>
    </row>
    <row r="210" spans="6:18" x14ac:dyDescent="0.25">
      <c r="F210" s="105"/>
      <c r="R210" s="91"/>
    </row>
    <row r="211" spans="6:18" x14ac:dyDescent="0.25">
      <c r="F211" s="105"/>
      <c r="R211" s="91"/>
    </row>
    <row r="212" spans="6:18" x14ac:dyDescent="0.25">
      <c r="F212" s="105"/>
      <c r="R212" s="91"/>
    </row>
    <row r="213" spans="6:18" x14ac:dyDescent="0.25">
      <c r="F213" s="105"/>
      <c r="R213" s="91"/>
    </row>
    <row r="214" spans="6:18" x14ac:dyDescent="0.25">
      <c r="F214" s="105"/>
      <c r="R214" s="91"/>
    </row>
    <row r="215" spans="6:18" x14ac:dyDescent="0.25">
      <c r="F215" s="105"/>
      <c r="R215" s="91"/>
    </row>
    <row r="216" spans="6:18" x14ac:dyDescent="0.25">
      <c r="F216" s="105"/>
      <c r="R216" s="91"/>
    </row>
    <row r="217" spans="6:18" x14ac:dyDescent="0.25">
      <c r="F217" s="105"/>
      <c r="R217" s="91"/>
    </row>
    <row r="218" spans="6:18" x14ac:dyDescent="0.25">
      <c r="F218" s="105"/>
      <c r="R218" s="91"/>
    </row>
    <row r="219" spans="6:18" x14ac:dyDescent="0.25">
      <c r="F219" s="105"/>
      <c r="R219" s="91"/>
    </row>
    <row r="220" spans="6:18" x14ac:dyDescent="0.25">
      <c r="F220" s="105"/>
      <c r="R220" s="91"/>
    </row>
    <row r="221" spans="6:18" x14ac:dyDescent="0.25">
      <c r="F221" s="105"/>
      <c r="R221" s="91"/>
    </row>
    <row r="222" spans="6:18" x14ac:dyDescent="0.25">
      <c r="F222" s="105"/>
      <c r="R222" s="91"/>
    </row>
    <row r="223" spans="6:18" x14ac:dyDescent="0.25">
      <c r="F223" s="105"/>
      <c r="R223" s="91"/>
    </row>
    <row r="224" spans="6:18" x14ac:dyDescent="0.25">
      <c r="F224" s="105"/>
      <c r="R224" s="91"/>
    </row>
    <row r="225" spans="6:18" x14ac:dyDescent="0.25">
      <c r="F225" s="105"/>
      <c r="R225" s="91"/>
    </row>
    <row r="226" spans="6:18" x14ac:dyDescent="0.25">
      <c r="F226" s="105"/>
      <c r="R226" s="91"/>
    </row>
    <row r="227" spans="6:18" x14ac:dyDescent="0.25">
      <c r="F227" s="105"/>
      <c r="R227" s="91"/>
    </row>
    <row r="228" spans="6:18" x14ac:dyDescent="0.25">
      <c r="F228" s="105"/>
      <c r="R228" s="91"/>
    </row>
    <row r="229" spans="6:18" x14ac:dyDescent="0.25">
      <c r="F229" s="105"/>
      <c r="R229" s="91"/>
    </row>
    <row r="230" spans="6:18" x14ac:dyDescent="0.25">
      <c r="F230" s="105"/>
      <c r="R230" s="91"/>
    </row>
    <row r="231" spans="6:18" x14ac:dyDescent="0.25">
      <c r="F231" s="105"/>
      <c r="R231" s="91"/>
    </row>
    <row r="232" spans="6:18" x14ac:dyDescent="0.25">
      <c r="F232" s="105"/>
      <c r="R232" s="91"/>
    </row>
    <row r="233" spans="6:18" x14ac:dyDescent="0.25">
      <c r="F233" s="105"/>
      <c r="R233" s="91"/>
    </row>
    <row r="234" spans="6:18" x14ac:dyDescent="0.25">
      <c r="F234" s="105"/>
      <c r="R234" s="91"/>
    </row>
    <row r="235" spans="6:18" x14ac:dyDescent="0.25">
      <c r="F235" s="105"/>
      <c r="R235" s="91"/>
    </row>
    <row r="236" spans="6:18" x14ac:dyDescent="0.25">
      <c r="F236" s="105"/>
      <c r="R236" s="91"/>
    </row>
    <row r="237" spans="6:18" x14ac:dyDescent="0.25">
      <c r="F237" s="105"/>
      <c r="R237" s="91"/>
    </row>
    <row r="238" spans="6:18" x14ac:dyDescent="0.25">
      <c r="F238" s="105"/>
      <c r="R238" s="91"/>
    </row>
    <row r="239" spans="6:18" x14ac:dyDescent="0.25">
      <c r="F239" s="105"/>
      <c r="R239" s="91"/>
    </row>
    <row r="240" spans="6:18" x14ac:dyDescent="0.25">
      <c r="F240" s="105"/>
      <c r="R240" s="91"/>
    </row>
    <row r="241" spans="6:18" x14ac:dyDescent="0.25">
      <c r="F241" s="105"/>
      <c r="R241" s="91"/>
    </row>
    <row r="242" spans="6:18" x14ac:dyDescent="0.25">
      <c r="F242" s="105"/>
      <c r="R242" s="91"/>
    </row>
    <row r="243" spans="6:18" x14ac:dyDescent="0.25">
      <c r="F243" s="105"/>
      <c r="R243" s="91"/>
    </row>
    <row r="244" spans="6:18" x14ac:dyDescent="0.25">
      <c r="F244" s="105"/>
      <c r="R244" s="91"/>
    </row>
    <row r="245" spans="6:18" x14ac:dyDescent="0.25">
      <c r="F245" s="105"/>
      <c r="R245" s="91"/>
    </row>
    <row r="246" spans="6:18" x14ac:dyDescent="0.25">
      <c r="F246" s="105"/>
      <c r="R246" s="91"/>
    </row>
    <row r="247" spans="6:18" x14ac:dyDescent="0.25">
      <c r="F247" s="105"/>
      <c r="R247" s="91"/>
    </row>
    <row r="248" spans="6:18" x14ac:dyDescent="0.25">
      <c r="F248" s="105"/>
      <c r="R248" s="91"/>
    </row>
    <row r="249" spans="6:18" x14ac:dyDescent="0.25">
      <c r="F249" s="105"/>
      <c r="R249" s="91"/>
    </row>
    <row r="250" spans="6:18" x14ac:dyDescent="0.25">
      <c r="F250" s="105"/>
      <c r="R250" s="91"/>
    </row>
    <row r="251" spans="6:18" x14ac:dyDescent="0.25">
      <c r="F251" s="105"/>
      <c r="R251" s="91"/>
    </row>
    <row r="252" spans="6:18" x14ac:dyDescent="0.25">
      <c r="F252" s="105"/>
      <c r="R252" s="91"/>
    </row>
    <row r="253" spans="6:18" x14ac:dyDescent="0.25">
      <c r="F253" s="105"/>
      <c r="R253" s="91"/>
    </row>
    <row r="254" spans="6:18" x14ac:dyDescent="0.25">
      <c r="F254" s="105"/>
      <c r="R254" s="91"/>
    </row>
    <row r="255" spans="6:18" x14ac:dyDescent="0.25">
      <c r="F255" s="105"/>
      <c r="R255" s="91"/>
    </row>
    <row r="256" spans="6:18" x14ac:dyDescent="0.25">
      <c r="F256" s="105"/>
      <c r="R256" s="91"/>
    </row>
    <row r="257" spans="6:18" x14ac:dyDescent="0.25">
      <c r="F257" s="105"/>
      <c r="R257" s="91"/>
    </row>
    <row r="258" spans="6:18" x14ac:dyDescent="0.25">
      <c r="F258" s="105"/>
      <c r="R258" s="91"/>
    </row>
    <row r="259" spans="6:18" x14ac:dyDescent="0.25">
      <c r="F259" s="105"/>
      <c r="R259" s="91"/>
    </row>
    <row r="260" spans="6:18" x14ac:dyDescent="0.25">
      <c r="F260" s="105"/>
      <c r="R260" s="91"/>
    </row>
    <row r="261" spans="6:18" x14ac:dyDescent="0.25">
      <c r="F261" s="105"/>
      <c r="R261" s="91"/>
    </row>
    <row r="262" spans="6:18" x14ac:dyDescent="0.25">
      <c r="F262" s="105"/>
      <c r="R262" s="91"/>
    </row>
    <row r="263" spans="6:18" x14ac:dyDescent="0.25">
      <c r="F263" s="105"/>
      <c r="R263" s="91"/>
    </row>
    <row r="264" spans="6:18" x14ac:dyDescent="0.25">
      <c r="F264" s="105"/>
      <c r="R264" s="91"/>
    </row>
    <row r="265" spans="6:18" x14ac:dyDescent="0.25">
      <c r="F265" s="105"/>
      <c r="R265" s="91"/>
    </row>
    <row r="266" spans="6:18" x14ac:dyDescent="0.25">
      <c r="F266" s="105"/>
      <c r="R266" s="91"/>
    </row>
    <row r="267" spans="6:18" x14ac:dyDescent="0.25">
      <c r="F267" s="105"/>
      <c r="R267" s="91"/>
    </row>
    <row r="268" spans="6:18" x14ac:dyDescent="0.25">
      <c r="F268" s="105"/>
      <c r="R268" s="91"/>
    </row>
    <row r="269" spans="6:18" x14ac:dyDescent="0.25">
      <c r="F269" s="105"/>
      <c r="R269" s="91"/>
    </row>
    <row r="270" spans="6:18" x14ac:dyDescent="0.25">
      <c r="F270" s="105"/>
      <c r="R270" s="91"/>
    </row>
    <row r="271" spans="6:18" x14ac:dyDescent="0.25">
      <c r="F271" s="105"/>
      <c r="R271" s="91"/>
    </row>
    <row r="272" spans="6:18" x14ac:dyDescent="0.25">
      <c r="F272" s="105"/>
      <c r="R272" s="91"/>
    </row>
    <row r="273" spans="6:18" x14ac:dyDescent="0.25">
      <c r="F273" s="105"/>
      <c r="R273" s="91"/>
    </row>
    <row r="274" spans="6:18" x14ac:dyDescent="0.25">
      <c r="F274" s="105"/>
      <c r="R274" s="91"/>
    </row>
    <row r="275" spans="6:18" x14ac:dyDescent="0.25">
      <c r="F275" s="105"/>
      <c r="R275" s="91"/>
    </row>
    <row r="276" spans="6:18" x14ac:dyDescent="0.25">
      <c r="F276" s="105"/>
      <c r="R276" s="91"/>
    </row>
    <row r="277" spans="6:18" x14ac:dyDescent="0.25">
      <c r="F277" s="105"/>
      <c r="R277" s="91"/>
    </row>
    <row r="278" spans="6:18" x14ac:dyDescent="0.25">
      <c r="F278" s="105"/>
      <c r="R278" s="91"/>
    </row>
    <row r="279" spans="6:18" x14ac:dyDescent="0.25">
      <c r="F279" s="105"/>
      <c r="R279" s="91"/>
    </row>
    <row r="280" spans="6:18" x14ac:dyDescent="0.25">
      <c r="F280" s="105"/>
      <c r="R280" s="91"/>
    </row>
    <row r="281" spans="6:18" x14ac:dyDescent="0.25">
      <c r="F281" s="105"/>
      <c r="R281" s="91"/>
    </row>
    <row r="282" spans="6:18" x14ac:dyDescent="0.25">
      <c r="F282" s="105"/>
      <c r="R282" s="91"/>
    </row>
    <row r="283" spans="6:18" x14ac:dyDescent="0.25">
      <c r="F283" s="105"/>
      <c r="R283" s="91"/>
    </row>
    <row r="284" spans="6:18" x14ac:dyDescent="0.25">
      <c r="F284" s="105"/>
      <c r="R284" s="91"/>
    </row>
    <row r="285" spans="6:18" x14ac:dyDescent="0.25">
      <c r="F285" s="105"/>
      <c r="R285" s="91"/>
    </row>
    <row r="286" spans="6:18" x14ac:dyDescent="0.25">
      <c r="F286" s="105"/>
      <c r="R286" s="91"/>
    </row>
    <row r="287" spans="6:18" x14ac:dyDescent="0.25">
      <c r="F287" s="105"/>
      <c r="R287" s="91"/>
    </row>
    <row r="288" spans="6:18" x14ac:dyDescent="0.25">
      <c r="F288" s="105"/>
      <c r="R288" s="91"/>
    </row>
    <row r="289" spans="6:18" x14ac:dyDescent="0.25">
      <c r="F289" s="105"/>
      <c r="R289" s="91"/>
    </row>
    <row r="290" spans="6:18" x14ac:dyDescent="0.25">
      <c r="F290" s="105"/>
      <c r="R290" s="91"/>
    </row>
    <row r="291" spans="6:18" x14ac:dyDescent="0.25">
      <c r="F291" s="105"/>
      <c r="R291" s="91"/>
    </row>
    <row r="292" spans="6:18" x14ac:dyDescent="0.25">
      <c r="F292" s="105"/>
      <c r="R292" s="91"/>
    </row>
    <row r="293" spans="6:18" x14ac:dyDescent="0.25">
      <c r="F293" s="105"/>
      <c r="R293" s="91"/>
    </row>
    <row r="294" spans="6:18" x14ac:dyDescent="0.25">
      <c r="F294" s="105"/>
      <c r="R294" s="91"/>
    </row>
    <row r="295" spans="6:18" x14ac:dyDescent="0.25">
      <c r="F295" s="105"/>
      <c r="R295" s="91"/>
    </row>
    <row r="296" spans="6:18" x14ac:dyDescent="0.25">
      <c r="F296" s="105"/>
      <c r="R296" s="91"/>
    </row>
    <row r="297" spans="6:18" x14ac:dyDescent="0.25">
      <c r="F297" s="105"/>
      <c r="R297" s="91"/>
    </row>
    <row r="298" spans="6:18" x14ac:dyDescent="0.25">
      <c r="F298" s="105"/>
      <c r="R298" s="91"/>
    </row>
    <row r="299" spans="6:18" x14ac:dyDescent="0.25">
      <c r="F299" s="105"/>
      <c r="R299" s="91"/>
    </row>
    <row r="300" spans="6:18" x14ac:dyDescent="0.25">
      <c r="F300" s="105"/>
      <c r="R300" s="91"/>
    </row>
    <row r="301" spans="6:18" x14ac:dyDescent="0.25">
      <c r="F301" s="105"/>
      <c r="R301" s="91"/>
    </row>
    <row r="302" spans="6:18" x14ac:dyDescent="0.25">
      <c r="F302" s="105"/>
      <c r="R302" s="91"/>
    </row>
    <row r="303" spans="6:18" x14ac:dyDescent="0.25">
      <c r="F303" s="105"/>
      <c r="R303" s="91"/>
    </row>
    <row r="304" spans="6:18" x14ac:dyDescent="0.25">
      <c r="F304" s="105"/>
      <c r="R304" s="91"/>
    </row>
    <row r="305" spans="6:18" x14ac:dyDescent="0.25">
      <c r="F305" s="105"/>
      <c r="R305" s="91"/>
    </row>
    <row r="306" spans="6:18" x14ac:dyDescent="0.25">
      <c r="F306" s="105"/>
      <c r="R306" s="91"/>
    </row>
    <row r="307" spans="6:18" x14ac:dyDescent="0.25">
      <c r="F307" s="105"/>
      <c r="R307" s="91"/>
    </row>
    <row r="308" spans="6:18" x14ac:dyDescent="0.25">
      <c r="F308" s="105"/>
      <c r="R308" s="91"/>
    </row>
    <row r="309" spans="6:18" x14ac:dyDescent="0.25">
      <c r="F309" s="105"/>
      <c r="R309" s="91"/>
    </row>
    <row r="310" spans="6:18" x14ac:dyDescent="0.25">
      <c r="F310" s="105"/>
      <c r="R310" s="91"/>
    </row>
    <row r="311" spans="6:18" x14ac:dyDescent="0.25">
      <c r="F311" s="105"/>
      <c r="R311" s="91"/>
    </row>
    <row r="312" spans="6:18" x14ac:dyDescent="0.25">
      <c r="F312" s="105"/>
      <c r="R312" s="91"/>
    </row>
    <row r="313" spans="6:18" x14ac:dyDescent="0.25">
      <c r="F313" s="105"/>
      <c r="R313" s="91"/>
    </row>
    <row r="314" spans="6:18" x14ac:dyDescent="0.25">
      <c r="F314" s="105"/>
      <c r="R314" s="91"/>
    </row>
    <row r="315" spans="6:18" x14ac:dyDescent="0.25">
      <c r="F315" s="105"/>
      <c r="R315" s="91"/>
    </row>
    <row r="316" spans="6:18" x14ac:dyDescent="0.25">
      <c r="F316" s="105"/>
      <c r="R316" s="91"/>
    </row>
    <row r="317" spans="6:18" x14ac:dyDescent="0.25">
      <c r="F317" s="105"/>
      <c r="R317" s="91"/>
    </row>
    <row r="318" spans="6:18" x14ac:dyDescent="0.25">
      <c r="F318" s="105"/>
      <c r="R318" s="91"/>
    </row>
    <row r="319" spans="6:18" x14ac:dyDescent="0.25">
      <c r="F319" s="105"/>
      <c r="R319" s="91"/>
    </row>
    <row r="320" spans="6:18" x14ac:dyDescent="0.25">
      <c r="F320" s="105"/>
      <c r="R320" s="91"/>
    </row>
    <row r="321" spans="6:18" x14ac:dyDescent="0.25">
      <c r="F321" s="105"/>
      <c r="R321" s="91"/>
    </row>
    <row r="322" spans="6:18" x14ac:dyDescent="0.25">
      <c r="F322" s="105"/>
      <c r="R322" s="91"/>
    </row>
    <row r="323" spans="6:18" x14ac:dyDescent="0.25">
      <c r="F323" s="105"/>
      <c r="R323" s="91"/>
    </row>
    <row r="324" spans="6:18" x14ac:dyDescent="0.25">
      <c r="F324" s="105"/>
      <c r="R324" s="91"/>
    </row>
    <row r="325" spans="6:18" x14ac:dyDescent="0.25">
      <c r="F325" s="105"/>
      <c r="R325" s="91"/>
    </row>
    <row r="326" spans="6:18" x14ac:dyDescent="0.25">
      <c r="F326" s="105"/>
      <c r="R326" s="91"/>
    </row>
    <row r="327" spans="6:18" x14ac:dyDescent="0.25">
      <c r="F327" s="105"/>
      <c r="R327" s="91"/>
    </row>
    <row r="328" spans="6:18" x14ac:dyDescent="0.25">
      <c r="F328" s="105"/>
      <c r="R328" s="91"/>
    </row>
    <row r="329" spans="6:18" x14ac:dyDescent="0.25">
      <c r="F329" s="105"/>
      <c r="R329" s="91"/>
    </row>
    <row r="330" spans="6:18" x14ac:dyDescent="0.25">
      <c r="F330" s="105"/>
      <c r="R330" s="91"/>
    </row>
    <row r="331" spans="6:18" x14ac:dyDescent="0.25">
      <c r="F331" s="105"/>
      <c r="R331" s="91"/>
    </row>
    <row r="332" spans="6:18" x14ac:dyDescent="0.25">
      <c r="F332" s="105"/>
      <c r="R332" s="91"/>
    </row>
    <row r="333" spans="6:18" x14ac:dyDescent="0.25">
      <c r="F333" s="105"/>
      <c r="R333" s="91"/>
    </row>
    <row r="334" spans="6:18" x14ac:dyDescent="0.25">
      <c r="F334" s="105"/>
      <c r="R334" s="91"/>
    </row>
    <row r="335" spans="6:18" x14ac:dyDescent="0.25">
      <c r="F335" s="105"/>
      <c r="R335" s="91"/>
    </row>
    <row r="336" spans="6:18" x14ac:dyDescent="0.25">
      <c r="F336" s="105"/>
      <c r="R336" s="91"/>
    </row>
    <row r="337" spans="6:18" x14ac:dyDescent="0.25">
      <c r="F337" s="105"/>
      <c r="R337" s="91"/>
    </row>
    <row r="338" spans="6:18" x14ac:dyDescent="0.25">
      <c r="F338" s="105"/>
      <c r="R338" s="91"/>
    </row>
    <row r="339" spans="6:18" x14ac:dyDescent="0.25">
      <c r="F339" s="105"/>
      <c r="R339" s="91"/>
    </row>
    <row r="340" spans="6:18" x14ac:dyDescent="0.25">
      <c r="F340" s="105"/>
      <c r="R340" s="91"/>
    </row>
    <row r="341" spans="6:18" x14ac:dyDescent="0.25">
      <c r="F341" s="105"/>
      <c r="R341" s="91"/>
    </row>
    <row r="342" spans="6:18" x14ac:dyDescent="0.25">
      <c r="F342" s="105"/>
      <c r="R342" s="91"/>
    </row>
    <row r="343" spans="6:18" x14ac:dyDescent="0.25">
      <c r="F343" s="105"/>
      <c r="R343" s="91"/>
    </row>
    <row r="344" spans="6:18" x14ac:dyDescent="0.25">
      <c r="F344" s="105"/>
      <c r="R344" s="91"/>
    </row>
    <row r="345" spans="6:18" x14ac:dyDescent="0.25">
      <c r="F345" s="105"/>
      <c r="R345" s="91"/>
    </row>
    <row r="346" spans="6:18" x14ac:dyDescent="0.25">
      <c r="F346" s="105"/>
      <c r="R346" s="91"/>
    </row>
    <row r="347" spans="6:18" x14ac:dyDescent="0.25">
      <c r="F347" s="105"/>
      <c r="R347" s="91"/>
    </row>
    <row r="348" spans="6:18" x14ac:dyDescent="0.25">
      <c r="F348" s="105"/>
      <c r="R348" s="91"/>
    </row>
    <row r="349" spans="6:18" x14ac:dyDescent="0.25">
      <c r="F349" s="105"/>
      <c r="R349" s="91"/>
    </row>
    <row r="350" spans="6:18" x14ac:dyDescent="0.25">
      <c r="F350" s="105"/>
      <c r="R350" s="91"/>
    </row>
    <row r="351" spans="6:18" x14ac:dyDescent="0.25">
      <c r="F351" s="105"/>
      <c r="R351" s="91"/>
    </row>
    <row r="352" spans="6:18" x14ac:dyDescent="0.25">
      <c r="F352" s="105"/>
      <c r="R352" s="91"/>
    </row>
    <row r="353" spans="6:18" x14ac:dyDescent="0.25">
      <c r="F353" s="105"/>
      <c r="R353" s="91"/>
    </row>
    <row r="354" spans="6:18" x14ac:dyDescent="0.25">
      <c r="F354" s="105"/>
      <c r="R354" s="91"/>
    </row>
    <row r="355" spans="6:18" x14ac:dyDescent="0.25">
      <c r="F355" s="105"/>
      <c r="R355" s="91"/>
    </row>
    <row r="356" spans="6:18" x14ac:dyDescent="0.25">
      <c r="F356" s="105"/>
      <c r="R356" s="91"/>
    </row>
    <row r="357" spans="6:18" x14ac:dyDescent="0.25">
      <c r="F357" s="105"/>
      <c r="R357" s="91"/>
    </row>
    <row r="358" spans="6:18" x14ac:dyDescent="0.25">
      <c r="F358" s="105"/>
      <c r="R358" s="91"/>
    </row>
    <row r="359" spans="6:18" x14ac:dyDescent="0.25">
      <c r="F359" s="105"/>
      <c r="R359" s="91"/>
    </row>
    <row r="360" spans="6:18" x14ac:dyDescent="0.25">
      <c r="F360" s="105"/>
      <c r="R360" s="91"/>
    </row>
    <row r="361" spans="6:18" x14ac:dyDescent="0.25">
      <c r="F361" s="105"/>
      <c r="R361" s="91"/>
    </row>
    <row r="362" spans="6:18" x14ac:dyDescent="0.25">
      <c r="F362" s="105"/>
      <c r="R362" s="91"/>
    </row>
    <row r="363" spans="6:18" x14ac:dyDescent="0.25">
      <c r="F363" s="105"/>
      <c r="R363" s="91"/>
    </row>
    <row r="364" spans="6:18" x14ac:dyDescent="0.25">
      <c r="F364" s="105"/>
      <c r="R364" s="91"/>
    </row>
    <row r="365" spans="6:18" x14ac:dyDescent="0.25">
      <c r="F365" s="105"/>
      <c r="R365" s="91"/>
    </row>
    <row r="366" spans="6:18" x14ac:dyDescent="0.25">
      <c r="F366" s="105"/>
      <c r="R366" s="91"/>
    </row>
    <row r="367" spans="6:18" x14ac:dyDescent="0.25">
      <c r="F367" s="105"/>
      <c r="R367" s="91"/>
    </row>
    <row r="368" spans="6:18" x14ac:dyDescent="0.25">
      <c r="F368" s="105"/>
      <c r="R368" s="91"/>
    </row>
    <row r="369" spans="6:18" x14ac:dyDescent="0.25">
      <c r="F369" s="105"/>
      <c r="R369" s="91"/>
    </row>
    <row r="370" spans="6:18" x14ac:dyDescent="0.25">
      <c r="F370" s="105"/>
      <c r="R370" s="91"/>
    </row>
    <row r="371" spans="6:18" x14ac:dyDescent="0.25">
      <c r="F371" s="105"/>
      <c r="R371" s="91"/>
    </row>
    <row r="372" spans="6:18" x14ac:dyDescent="0.25">
      <c r="F372" s="105"/>
      <c r="R372" s="91"/>
    </row>
    <row r="373" spans="6:18" x14ac:dyDescent="0.25">
      <c r="F373" s="105"/>
      <c r="R373" s="91"/>
    </row>
    <row r="374" spans="6:18" x14ac:dyDescent="0.25">
      <c r="F374" s="105"/>
      <c r="R374" s="91"/>
    </row>
    <row r="375" spans="6:18" x14ac:dyDescent="0.25">
      <c r="F375" s="105"/>
      <c r="R375" s="91"/>
    </row>
    <row r="376" spans="6:18" x14ac:dyDescent="0.25">
      <c r="F376" s="105"/>
      <c r="R376" s="91"/>
    </row>
    <row r="377" spans="6:18" x14ac:dyDescent="0.25">
      <c r="F377" s="105"/>
      <c r="R377" s="91"/>
    </row>
    <row r="378" spans="6:18" x14ac:dyDescent="0.25">
      <c r="F378" s="105"/>
      <c r="R378" s="91"/>
    </row>
    <row r="379" spans="6:18" x14ac:dyDescent="0.25">
      <c r="F379" s="105"/>
      <c r="R379" s="91"/>
    </row>
    <row r="380" spans="6:18" x14ac:dyDescent="0.25">
      <c r="F380" s="105"/>
      <c r="R380" s="91"/>
    </row>
    <row r="381" spans="6:18" x14ac:dyDescent="0.25">
      <c r="F381" s="105"/>
      <c r="R381" s="91"/>
    </row>
    <row r="382" spans="6:18" x14ac:dyDescent="0.25">
      <c r="F382" s="105"/>
      <c r="R382" s="91"/>
    </row>
    <row r="383" spans="6:18" x14ac:dyDescent="0.25">
      <c r="F383" s="105"/>
      <c r="R383" s="91"/>
    </row>
    <row r="384" spans="6:18" x14ac:dyDescent="0.25">
      <c r="F384" s="105"/>
      <c r="R384" s="91"/>
    </row>
    <row r="385" spans="6:18" x14ac:dyDescent="0.25">
      <c r="F385" s="105"/>
      <c r="R385" s="91"/>
    </row>
    <row r="386" spans="6:18" x14ac:dyDescent="0.25">
      <c r="F386" s="105"/>
      <c r="R386" s="91"/>
    </row>
    <row r="387" spans="6:18" x14ac:dyDescent="0.25">
      <c r="F387" s="105"/>
      <c r="R387" s="91"/>
    </row>
    <row r="388" spans="6:18" x14ac:dyDescent="0.25">
      <c r="F388" s="105"/>
      <c r="R388" s="91"/>
    </row>
    <row r="389" spans="6:18" x14ac:dyDescent="0.25">
      <c r="F389" s="105"/>
      <c r="R389" s="91"/>
    </row>
    <row r="390" spans="6:18" x14ac:dyDescent="0.25">
      <c r="F390" s="105"/>
      <c r="R390" s="91"/>
    </row>
    <row r="391" spans="6:18" x14ac:dyDescent="0.25">
      <c r="F391" s="105"/>
      <c r="R391" s="91"/>
    </row>
    <row r="392" spans="6:18" x14ac:dyDescent="0.25">
      <c r="F392" s="105"/>
      <c r="R392" s="91"/>
    </row>
    <row r="393" spans="6:18" x14ac:dyDescent="0.25">
      <c r="F393" s="105"/>
      <c r="R393" s="91"/>
    </row>
    <row r="394" spans="6:18" x14ac:dyDescent="0.25">
      <c r="F394" s="105"/>
      <c r="R394" s="91"/>
    </row>
    <row r="395" spans="6:18" x14ac:dyDescent="0.25">
      <c r="F395" s="105"/>
      <c r="R395" s="91"/>
    </row>
    <row r="396" spans="6:18" x14ac:dyDescent="0.25">
      <c r="F396" s="105"/>
      <c r="R396" s="91"/>
    </row>
    <row r="397" spans="6:18" x14ac:dyDescent="0.25">
      <c r="F397" s="105"/>
      <c r="R397" s="91"/>
    </row>
    <row r="398" spans="6:18" x14ac:dyDescent="0.25">
      <c r="F398" s="105"/>
      <c r="R398" s="91"/>
    </row>
    <row r="399" spans="6:18" x14ac:dyDescent="0.25">
      <c r="F399" s="105"/>
      <c r="R399" s="91"/>
    </row>
    <row r="400" spans="6:18" x14ac:dyDescent="0.25">
      <c r="F400" s="105"/>
      <c r="R400" s="91"/>
    </row>
    <row r="401" spans="6:18" x14ac:dyDescent="0.25">
      <c r="F401" s="105"/>
      <c r="R401" s="91"/>
    </row>
    <row r="402" spans="6:18" x14ac:dyDescent="0.25">
      <c r="F402" s="105"/>
      <c r="R402" s="91"/>
    </row>
    <row r="403" spans="6:18" x14ac:dyDescent="0.25">
      <c r="F403" s="105"/>
      <c r="R403" s="91"/>
    </row>
    <row r="404" spans="6:18" x14ac:dyDescent="0.25">
      <c r="F404" s="105"/>
      <c r="R404" s="91"/>
    </row>
    <row r="405" spans="6:18" x14ac:dyDescent="0.25">
      <c r="F405" s="105"/>
      <c r="R405" s="91"/>
    </row>
    <row r="406" spans="6:18" x14ac:dyDescent="0.25">
      <c r="F406" s="105"/>
      <c r="R406" s="91"/>
    </row>
    <row r="407" spans="6:18" x14ac:dyDescent="0.25">
      <c r="F407" s="105"/>
      <c r="R407" s="91"/>
    </row>
    <row r="408" spans="6:18" x14ac:dyDescent="0.25">
      <c r="F408" s="105"/>
      <c r="R408" s="91"/>
    </row>
    <row r="409" spans="6:18" x14ac:dyDescent="0.25">
      <c r="F409" s="105"/>
      <c r="R409" s="91"/>
    </row>
    <row r="410" spans="6:18" x14ac:dyDescent="0.25">
      <c r="F410" s="105"/>
      <c r="R410" s="91"/>
    </row>
    <row r="411" spans="6:18" x14ac:dyDescent="0.25">
      <c r="F411" s="105"/>
      <c r="R411" s="91"/>
    </row>
    <row r="412" spans="6:18" x14ac:dyDescent="0.25">
      <c r="F412" s="105"/>
      <c r="R412" s="91"/>
    </row>
    <row r="413" spans="6:18" x14ac:dyDescent="0.25">
      <c r="F413" s="105"/>
      <c r="R413" s="91"/>
    </row>
    <row r="414" spans="6:18" x14ac:dyDescent="0.25">
      <c r="F414" s="105"/>
      <c r="R414" s="91"/>
    </row>
    <row r="415" spans="6:18" x14ac:dyDescent="0.25">
      <c r="F415" s="105"/>
      <c r="R415" s="91"/>
    </row>
    <row r="416" spans="6:18" x14ac:dyDescent="0.25">
      <c r="F416" s="105"/>
      <c r="R416" s="91"/>
    </row>
    <row r="417" spans="6:18" x14ac:dyDescent="0.25">
      <c r="F417" s="105"/>
      <c r="R417" s="91"/>
    </row>
    <row r="418" spans="6:18" x14ac:dyDescent="0.25">
      <c r="F418" s="105"/>
      <c r="R418" s="91"/>
    </row>
    <row r="419" spans="6:18" x14ac:dyDescent="0.25">
      <c r="F419" s="105"/>
      <c r="R419" s="91"/>
    </row>
    <row r="420" spans="6:18" x14ac:dyDescent="0.25">
      <c r="F420" s="105"/>
      <c r="R420" s="91"/>
    </row>
    <row r="421" spans="6:18" x14ac:dyDescent="0.25">
      <c r="F421" s="105"/>
      <c r="R421" s="91"/>
    </row>
    <row r="422" spans="6:18" x14ac:dyDescent="0.25">
      <c r="F422" s="105"/>
      <c r="R422" s="91"/>
    </row>
    <row r="423" spans="6:18" x14ac:dyDescent="0.25">
      <c r="F423" s="105"/>
      <c r="R423" s="91"/>
    </row>
    <row r="424" spans="6:18" x14ac:dyDescent="0.25">
      <c r="F424" s="105"/>
      <c r="R424" s="91"/>
    </row>
    <row r="425" spans="6:18" x14ac:dyDescent="0.25">
      <c r="F425" s="105"/>
      <c r="R425" s="91"/>
    </row>
    <row r="426" spans="6:18" x14ac:dyDescent="0.25">
      <c r="F426" s="105"/>
      <c r="R426" s="91"/>
    </row>
    <row r="427" spans="6:18" x14ac:dyDescent="0.25">
      <c r="F427" s="105"/>
      <c r="R427" s="91"/>
    </row>
    <row r="428" spans="6:18" x14ac:dyDescent="0.25">
      <c r="F428" s="105"/>
      <c r="R428" s="91"/>
    </row>
    <row r="429" spans="6:18" x14ac:dyDescent="0.25">
      <c r="F429" s="105"/>
      <c r="R429" s="91"/>
    </row>
    <row r="430" spans="6:18" x14ac:dyDescent="0.25">
      <c r="F430" s="105"/>
      <c r="R430" s="91"/>
    </row>
    <row r="431" spans="6:18" x14ac:dyDescent="0.25">
      <c r="F431" s="105"/>
      <c r="R431" s="91"/>
    </row>
    <row r="432" spans="6:18" x14ac:dyDescent="0.25">
      <c r="F432" s="105"/>
      <c r="R432" s="91"/>
    </row>
    <row r="433" spans="6:18" x14ac:dyDescent="0.25">
      <c r="F433" s="105"/>
      <c r="R433" s="91"/>
    </row>
    <row r="434" spans="6:18" x14ac:dyDescent="0.25">
      <c r="F434" s="105"/>
      <c r="R434" s="91"/>
    </row>
    <row r="435" spans="6:18" x14ac:dyDescent="0.25">
      <c r="F435" s="105"/>
      <c r="R435" s="91"/>
    </row>
    <row r="436" spans="6:18" x14ac:dyDescent="0.25">
      <c r="F436" s="105"/>
      <c r="R436" s="91"/>
    </row>
    <row r="437" spans="6:18" x14ac:dyDescent="0.25">
      <c r="F437" s="105"/>
      <c r="R437" s="91"/>
    </row>
    <row r="438" spans="6:18" x14ac:dyDescent="0.25">
      <c r="F438" s="105"/>
      <c r="R438" s="91"/>
    </row>
    <row r="439" spans="6:18" x14ac:dyDescent="0.25">
      <c r="F439" s="105"/>
      <c r="R439" s="91"/>
    </row>
    <row r="440" spans="6:18" x14ac:dyDescent="0.25">
      <c r="F440" s="105"/>
      <c r="R440" s="91"/>
    </row>
    <row r="441" spans="6:18" x14ac:dyDescent="0.25">
      <c r="F441" s="105"/>
      <c r="R441" s="91"/>
    </row>
    <row r="442" spans="6:18" x14ac:dyDescent="0.25">
      <c r="F442" s="105"/>
      <c r="R442" s="91"/>
    </row>
    <row r="443" spans="6:18" x14ac:dyDescent="0.25">
      <c r="F443" s="105"/>
      <c r="R443" s="91"/>
    </row>
    <row r="444" spans="6:18" x14ac:dyDescent="0.25">
      <c r="F444" s="105"/>
      <c r="R444" s="91"/>
    </row>
    <row r="445" spans="6:18" x14ac:dyDescent="0.25">
      <c r="F445" s="105"/>
      <c r="R445" s="91"/>
    </row>
    <row r="446" spans="6:18" x14ac:dyDescent="0.25">
      <c r="F446" s="105"/>
      <c r="R446" s="91"/>
    </row>
    <row r="447" spans="6:18" x14ac:dyDescent="0.25">
      <c r="F447" s="105"/>
      <c r="R447" s="91"/>
    </row>
    <row r="448" spans="6:18" x14ac:dyDescent="0.25">
      <c r="F448" s="105"/>
      <c r="R448" s="91"/>
    </row>
    <row r="449" spans="6:18" x14ac:dyDescent="0.25">
      <c r="F449" s="105"/>
      <c r="R449" s="91"/>
    </row>
    <row r="450" spans="6:18" x14ac:dyDescent="0.25">
      <c r="F450" s="105"/>
      <c r="R450" s="91"/>
    </row>
    <row r="451" spans="6:18" x14ac:dyDescent="0.25">
      <c r="F451" s="105"/>
      <c r="R451" s="91"/>
    </row>
    <row r="452" spans="6:18" x14ac:dyDescent="0.25">
      <c r="F452" s="105"/>
      <c r="R452" s="91"/>
    </row>
    <row r="453" spans="6:18" x14ac:dyDescent="0.25">
      <c r="F453" s="105"/>
      <c r="R453" s="91"/>
    </row>
    <row r="454" spans="6:18" x14ac:dyDescent="0.25">
      <c r="F454" s="105"/>
      <c r="R454" s="91"/>
    </row>
    <row r="455" spans="6:18" x14ac:dyDescent="0.25">
      <c r="F455" s="105"/>
      <c r="R455" s="91"/>
    </row>
    <row r="456" spans="6:18" x14ac:dyDescent="0.25">
      <c r="F456" s="105"/>
      <c r="R456" s="91"/>
    </row>
    <row r="457" spans="6:18" x14ac:dyDescent="0.25">
      <c r="F457" s="105"/>
      <c r="R457" s="91"/>
    </row>
    <row r="458" spans="6:18" x14ac:dyDescent="0.25">
      <c r="F458" s="105"/>
      <c r="R458" s="91"/>
    </row>
    <row r="459" spans="6:18" x14ac:dyDescent="0.25">
      <c r="F459" s="105"/>
      <c r="R459" s="91"/>
    </row>
    <row r="460" spans="6:18" x14ac:dyDescent="0.25">
      <c r="F460" s="105"/>
      <c r="R460" s="91"/>
    </row>
    <row r="461" spans="6:18" x14ac:dyDescent="0.25">
      <c r="F461" s="105"/>
      <c r="R461" s="91"/>
    </row>
    <row r="462" spans="6:18" x14ac:dyDescent="0.25">
      <c r="F462" s="105"/>
      <c r="R462" s="91"/>
    </row>
    <row r="463" spans="6:18" x14ac:dyDescent="0.25">
      <c r="F463" s="105"/>
      <c r="R463" s="91"/>
    </row>
    <row r="464" spans="6:18" x14ac:dyDescent="0.25">
      <c r="F464" s="105"/>
      <c r="R464" s="91"/>
    </row>
    <row r="465" spans="6:18" x14ac:dyDescent="0.25">
      <c r="F465" s="105"/>
      <c r="R465" s="91"/>
    </row>
    <row r="466" spans="6:18" x14ac:dyDescent="0.25">
      <c r="F466" s="105"/>
      <c r="R466" s="91"/>
    </row>
    <row r="467" spans="6:18" x14ac:dyDescent="0.25">
      <c r="F467" s="105"/>
      <c r="R467" s="91"/>
    </row>
    <row r="468" spans="6:18" x14ac:dyDescent="0.25">
      <c r="F468" s="105"/>
      <c r="R468" s="91"/>
    </row>
    <row r="469" spans="6:18" x14ac:dyDescent="0.25">
      <c r="F469" s="105"/>
      <c r="R469" s="91"/>
    </row>
    <row r="470" spans="6:18" x14ac:dyDescent="0.25">
      <c r="F470" s="105"/>
      <c r="R470" s="91"/>
    </row>
    <row r="471" spans="6:18" x14ac:dyDescent="0.25">
      <c r="F471" s="105"/>
      <c r="R471" s="91"/>
    </row>
    <row r="472" spans="6:18" x14ac:dyDescent="0.25">
      <c r="F472" s="105"/>
      <c r="R472" s="91"/>
    </row>
    <row r="473" spans="6:18" x14ac:dyDescent="0.25">
      <c r="F473" s="105"/>
      <c r="R473" s="91"/>
    </row>
    <row r="474" spans="6:18" x14ac:dyDescent="0.25">
      <c r="F474" s="105"/>
      <c r="R474" s="91"/>
    </row>
    <row r="475" spans="6:18" x14ac:dyDescent="0.25">
      <c r="F475" s="105"/>
      <c r="R475" s="91"/>
    </row>
    <row r="476" spans="6:18" x14ac:dyDescent="0.25">
      <c r="F476" s="105"/>
      <c r="R476" s="91"/>
    </row>
    <row r="477" spans="6:18" x14ac:dyDescent="0.25">
      <c r="F477" s="105"/>
      <c r="R477" s="91"/>
    </row>
    <row r="478" spans="6:18" x14ac:dyDescent="0.25">
      <c r="F478" s="105"/>
      <c r="R478" s="91"/>
    </row>
    <row r="479" spans="6:18" x14ac:dyDescent="0.25">
      <c r="F479" s="105"/>
      <c r="R479" s="91"/>
    </row>
    <row r="480" spans="6:18" x14ac:dyDescent="0.25">
      <c r="F480" s="105"/>
      <c r="R480" s="91"/>
    </row>
    <row r="481" spans="6:18" x14ac:dyDescent="0.25">
      <c r="F481" s="105"/>
      <c r="R481" s="91"/>
    </row>
    <row r="482" spans="6:18" x14ac:dyDescent="0.25">
      <c r="F482" s="105"/>
      <c r="R482" s="91"/>
    </row>
    <row r="483" spans="6:18" x14ac:dyDescent="0.25">
      <c r="F483" s="105"/>
      <c r="R483" s="91"/>
    </row>
    <row r="484" spans="6:18" x14ac:dyDescent="0.25">
      <c r="F484" s="105"/>
      <c r="R484" s="91"/>
    </row>
    <row r="485" spans="6:18" x14ac:dyDescent="0.25">
      <c r="F485" s="105"/>
      <c r="R485" s="91"/>
    </row>
    <row r="486" spans="6:18" x14ac:dyDescent="0.25">
      <c r="F486" s="105"/>
      <c r="R486" s="91"/>
    </row>
    <row r="487" spans="6:18" x14ac:dyDescent="0.25">
      <c r="F487" s="105"/>
      <c r="R487" s="91"/>
    </row>
    <row r="488" spans="6:18" x14ac:dyDescent="0.25">
      <c r="F488" s="105"/>
      <c r="R488" s="91"/>
    </row>
    <row r="489" spans="6:18" x14ac:dyDescent="0.25">
      <c r="F489" s="105"/>
      <c r="R489" s="91"/>
    </row>
    <row r="490" spans="6:18" x14ac:dyDescent="0.25">
      <c r="F490" s="105"/>
      <c r="R490" s="91"/>
    </row>
    <row r="491" spans="6:18" x14ac:dyDescent="0.25">
      <c r="F491" s="105"/>
      <c r="R491" s="91"/>
    </row>
    <row r="492" spans="6:18" x14ac:dyDescent="0.25">
      <c r="F492" s="105"/>
      <c r="R492" s="91"/>
    </row>
    <row r="493" spans="6:18" x14ac:dyDescent="0.25">
      <c r="F493" s="105"/>
      <c r="R493" s="91"/>
    </row>
    <row r="494" spans="6:18" x14ac:dyDescent="0.25">
      <c r="F494" s="105"/>
      <c r="R494" s="91"/>
    </row>
    <row r="495" spans="6:18" x14ac:dyDescent="0.25">
      <c r="F495" s="105"/>
      <c r="R495" s="91"/>
    </row>
    <row r="496" spans="6:18" x14ac:dyDescent="0.25">
      <c r="F496" s="105"/>
      <c r="R496" s="91"/>
    </row>
    <row r="497" spans="6:18" x14ac:dyDescent="0.25">
      <c r="F497" s="105"/>
      <c r="R497" s="91"/>
    </row>
    <row r="498" spans="6:18" x14ac:dyDescent="0.25">
      <c r="F498" s="105"/>
      <c r="R498" s="91"/>
    </row>
    <row r="499" spans="6:18" x14ac:dyDescent="0.25">
      <c r="F499" s="105"/>
      <c r="R499" s="91"/>
    </row>
    <row r="500" spans="6:18" x14ac:dyDescent="0.25">
      <c r="F500" s="105"/>
      <c r="R500" s="91"/>
    </row>
    <row r="501" spans="6:18" x14ac:dyDescent="0.25">
      <c r="F501" s="105"/>
      <c r="R501" s="91"/>
    </row>
    <row r="502" spans="6:18" x14ac:dyDescent="0.25">
      <c r="F502" s="105"/>
      <c r="R502" s="91"/>
    </row>
    <row r="503" spans="6:18" x14ac:dyDescent="0.25">
      <c r="F503" s="105"/>
      <c r="R503" s="91"/>
    </row>
    <row r="504" spans="6:18" x14ac:dyDescent="0.25">
      <c r="F504" s="105"/>
      <c r="R504" s="91"/>
    </row>
    <row r="505" spans="6:18" x14ac:dyDescent="0.25">
      <c r="F505" s="105"/>
      <c r="R505" s="91"/>
    </row>
    <row r="506" spans="6:18" x14ac:dyDescent="0.25">
      <c r="F506" s="105"/>
      <c r="R506" s="91"/>
    </row>
    <row r="507" spans="6:18" x14ac:dyDescent="0.25">
      <c r="F507" s="105"/>
      <c r="R507" s="91"/>
    </row>
    <row r="508" spans="6:18" x14ac:dyDescent="0.25">
      <c r="F508" s="105"/>
      <c r="R508" s="91"/>
    </row>
    <row r="509" spans="6:18" x14ac:dyDescent="0.25">
      <c r="F509" s="105"/>
      <c r="R509" s="91"/>
    </row>
    <row r="510" spans="6:18" x14ac:dyDescent="0.25">
      <c r="F510" s="105"/>
      <c r="R510" s="91"/>
    </row>
    <row r="511" spans="6:18" x14ac:dyDescent="0.25">
      <c r="F511" s="105"/>
      <c r="R511" s="91"/>
    </row>
    <row r="512" spans="6:18" x14ac:dyDescent="0.25">
      <c r="F512" s="105"/>
      <c r="R512" s="91"/>
    </row>
    <row r="513" spans="6:18" x14ac:dyDescent="0.25">
      <c r="F513" s="105"/>
      <c r="R513" s="91"/>
    </row>
    <row r="514" spans="6:18" x14ac:dyDescent="0.25">
      <c r="F514" s="105"/>
      <c r="R514" s="91"/>
    </row>
    <row r="515" spans="6:18" x14ac:dyDescent="0.25">
      <c r="F515" s="105"/>
      <c r="R515" s="91"/>
    </row>
    <row r="516" spans="6:18" x14ac:dyDescent="0.25">
      <c r="F516" s="105"/>
      <c r="R516" s="91"/>
    </row>
    <row r="517" spans="6:18" x14ac:dyDescent="0.25">
      <c r="F517" s="105"/>
      <c r="R517" s="91"/>
    </row>
    <row r="518" spans="6:18" x14ac:dyDescent="0.25">
      <c r="F518" s="105"/>
      <c r="R518" s="91"/>
    </row>
    <row r="519" spans="6:18" x14ac:dyDescent="0.25">
      <c r="F519" s="105"/>
      <c r="R519" s="91"/>
    </row>
    <row r="520" spans="6:18" x14ac:dyDescent="0.25">
      <c r="F520" s="105"/>
      <c r="R520" s="91"/>
    </row>
    <row r="521" spans="6:18" x14ac:dyDescent="0.25">
      <c r="F521" s="105"/>
      <c r="R521" s="91"/>
    </row>
    <row r="522" spans="6:18" x14ac:dyDescent="0.25">
      <c r="F522" s="105"/>
      <c r="R522" s="91"/>
    </row>
    <row r="523" spans="6:18" x14ac:dyDescent="0.25">
      <c r="F523" s="105"/>
      <c r="R523" s="91"/>
    </row>
    <row r="524" spans="6:18" x14ac:dyDescent="0.25">
      <c r="F524" s="105"/>
      <c r="R524" s="91"/>
    </row>
    <row r="525" spans="6:18" x14ac:dyDescent="0.25">
      <c r="F525" s="105"/>
      <c r="R525" s="91"/>
    </row>
    <row r="526" spans="6:18" x14ac:dyDescent="0.25">
      <c r="F526" s="105"/>
      <c r="R526" s="91"/>
    </row>
    <row r="527" spans="6:18" x14ac:dyDescent="0.25">
      <c r="F527" s="105"/>
      <c r="R527" s="91"/>
    </row>
    <row r="528" spans="6:18" x14ac:dyDescent="0.25">
      <c r="F528" s="105"/>
      <c r="R528" s="91"/>
    </row>
    <row r="529" spans="6:18" x14ac:dyDescent="0.25">
      <c r="F529" s="105"/>
      <c r="R529" s="91"/>
    </row>
    <row r="530" spans="6:18" x14ac:dyDescent="0.25">
      <c r="F530" s="105"/>
      <c r="R530" s="91"/>
    </row>
    <row r="531" spans="6:18" x14ac:dyDescent="0.25">
      <c r="F531" s="105"/>
      <c r="R531" s="91"/>
    </row>
    <row r="532" spans="6:18" x14ac:dyDescent="0.25">
      <c r="F532" s="105"/>
      <c r="R532" s="91"/>
    </row>
    <row r="533" spans="6:18" x14ac:dyDescent="0.25">
      <c r="F533" s="105"/>
      <c r="R533" s="91"/>
    </row>
    <row r="534" spans="6:18" x14ac:dyDescent="0.25">
      <c r="F534" s="105"/>
      <c r="R534" s="91"/>
    </row>
    <row r="535" spans="6:18" x14ac:dyDescent="0.25">
      <c r="F535" s="105"/>
      <c r="R535" s="91"/>
    </row>
    <row r="536" spans="6:18" x14ac:dyDescent="0.25">
      <c r="F536" s="105"/>
      <c r="R536" s="91"/>
    </row>
    <row r="537" spans="6:18" x14ac:dyDescent="0.25">
      <c r="F537" s="105"/>
      <c r="R537" s="91"/>
    </row>
    <row r="538" spans="6:18" x14ac:dyDescent="0.25">
      <c r="F538" s="105"/>
      <c r="R538" s="91"/>
    </row>
    <row r="539" spans="6:18" x14ac:dyDescent="0.25">
      <c r="F539" s="105"/>
      <c r="R539" s="91"/>
    </row>
    <row r="540" spans="6:18" x14ac:dyDescent="0.25">
      <c r="F540" s="105"/>
      <c r="R540" s="91"/>
    </row>
    <row r="541" spans="6:18" x14ac:dyDescent="0.25">
      <c r="F541" s="105"/>
      <c r="R541" s="91"/>
    </row>
    <row r="542" spans="6:18" x14ac:dyDescent="0.25">
      <c r="F542" s="105"/>
      <c r="R542" s="91"/>
    </row>
    <row r="543" spans="6:18" x14ac:dyDescent="0.25">
      <c r="F543" s="105"/>
      <c r="R543" s="91"/>
    </row>
    <row r="544" spans="6:18" x14ac:dyDescent="0.25">
      <c r="F544" s="105"/>
      <c r="R544" s="91"/>
    </row>
    <row r="545" spans="6:18" x14ac:dyDescent="0.25">
      <c r="F545" s="105"/>
      <c r="R545" s="91"/>
    </row>
    <row r="546" spans="6:18" x14ac:dyDescent="0.25">
      <c r="F546" s="105"/>
      <c r="R546" s="91"/>
    </row>
    <row r="547" spans="6:18" x14ac:dyDescent="0.25">
      <c r="F547" s="105"/>
      <c r="R547" s="91"/>
    </row>
    <row r="548" spans="6:18" x14ac:dyDescent="0.25">
      <c r="F548" s="105"/>
      <c r="R548" s="91"/>
    </row>
    <row r="549" spans="6:18" x14ac:dyDescent="0.25">
      <c r="F549" s="105"/>
      <c r="R549" s="91"/>
    </row>
    <row r="550" spans="6:18" x14ac:dyDescent="0.25">
      <c r="F550" s="105"/>
      <c r="R550" s="91"/>
    </row>
    <row r="551" spans="6:18" x14ac:dyDescent="0.25">
      <c r="F551" s="105"/>
      <c r="R551" s="91"/>
    </row>
    <row r="552" spans="6:18" x14ac:dyDescent="0.25">
      <c r="F552" s="105"/>
      <c r="R552" s="91"/>
    </row>
    <row r="553" spans="6:18" x14ac:dyDescent="0.25">
      <c r="F553" s="105"/>
      <c r="R553" s="91"/>
    </row>
    <row r="554" spans="6:18" x14ac:dyDescent="0.25">
      <c r="F554" s="105"/>
      <c r="R554" s="91"/>
    </row>
    <row r="555" spans="6:18" x14ac:dyDescent="0.25">
      <c r="F555" s="105"/>
      <c r="R555" s="91"/>
    </row>
    <row r="556" spans="6:18" x14ac:dyDescent="0.25">
      <c r="F556" s="105"/>
      <c r="R556" s="91"/>
    </row>
    <row r="557" spans="6:18" x14ac:dyDescent="0.25">
      <c r="F557" s="105"/>
      <c r="R557" s="91"/>
    </row>
    <row r="558" spans="6:18" x14ac:dyDescent="0.25">
      <c r="F558" s="105"/>
      <c r="R558" s="91"/>
    </row>
    <row r="559" spans="6:18" x14ac:dyDescent="0.25">
      <c r="F559" s="105"/>
      <c r="R559" s="91"/>
    </row>
    <row r="560" spans="6:18" x14ac:dyDescent="0.25">
      <c r="F560" s="105"/>
      <c r="R560" s="91"/>
    </row>
    <row r="561" spans="6:18" x14ac:dyDescent="0.25">
      <c r="F561" s="105"/>
      <c r="R561" s="91"/>
    </row>
    <row r="562" spans="6:18" x14ac:dyDescent="0.25">
      <c r="F562" s="105"/>
      <c r="R562" s="91"/>
    </row>
    <row r="563" spans="6:18" x14ac:dyDescent="0.25">
      <c r="F563" s="105"/>
      <c r="R563" s="91"/>
    </row>
    <row r="564" spans="6:18" x14ac:dyDescent="0.25">
      <c r="F564" s="105"/>
      <c r="R564" s="91"/>
    </row>
    <row r="565" spans="6:18" x14ac:dyDescent="0.25">
      <c r="F565" s="105"/>
      <c r="R565" s="91"/>
    </row>
    <row r="566" spans="6:18" x14ac:dyDescent="0.25">
      <c r="F566" s="105"/>
      <c r="R566" s="91"/>
    </row>
    <row r="567" spans="6:18" x14ac:dyDescent="0.25">
      <c r="F567" s="105"/>
      <c r="R567" s="91"/>
    </row>
    <row r="568" spans="6:18" x14ac:dyDescent="0.25">
      <c r="F568" s="105"/>
      <c r="R568" s="91"/>
    </row>
    <row r="569" spans="6:18" x14ac:dyDescent="0.25">
      <c r="F569" s="105"/>
      <c r="R569" s="91"/>
    </row>
    <row r="570" spans="6:18" x14ac:dyDescent="0.25">
      <c r="F570" s="105"/>
      <c r="R570" s="91"/>
    </row>
    <row r="571" spans="6:18" x14ac:dyDescent="0.25">
      <c r="F571" s="105"/>
      <c r="R571" s="91"/>
    </row>
    <row r="572" spans="6:18" x14ac:dyDescent="0.25">
      <c r="F572" s="105"/>
      <c r="R572" s="91"/>
    </row>
    <row r="573" spans="6:18" x14ac:dyDescent="0.25">
      <c r="F573" s="105"/>
      <c r="R573" s="91"/>
    </row>
    <row r="574" spans="6:18" x14ac:dyDescent="0.25">
      <c r="F574" s="105"/>
      <c r="R574" s="91"/>
    </row>
    <row r="575" spans="6:18" x14ac:dyDescent="0.25">
      <c r="F575" s="105"/>
      <c r="R575" s="91"/>
    </row>
    <row r="576" spans="6:18" x14ac:dyDescent="0.25">
      <c r="F576" s="105"/>
      <c r="R576" s="91"/>
    </row>
    <row r="577" spans="6:18" x14ac:dyDescent="0.25">
      <c r="F577" s="105"/>
      <c r="R577" s="91"/>
    </row>
    <row r="578" spans="6:18" x14ac:dyDescent="0.25">
      <c r="F578" s="105"/>
      <c r="R578" s="91"/>
    </row>
    <row r="579" spans="6:18" x14ac:dyDescent="0.25">
      <c r="F579" s="105"/>
      <c r="R579" s="91"/>
    </row>
    <row r="580" spans="6:18" x14ac:dyDescent="0.25">
      <c r="F580" s="105"/>
      <c r="R580" s="91"/>
    </row>
    <row r="581" spans="6:18" x14ac:dyDescent="0.25">
      <c r="F581" s="105"/>
      <c r="R581" s="91"/>
    </row>
    <row r="582" spans="6:18" x14ac:dyDescent="0.25">
      <c r="F582" s="105"/>
      <c r="R582" s="91"/>
    </row>
    <row r="583" spans="6:18" x14ac:dyDescent="0.25">
      <c r="F583" s="105"/>
      <c r="R583" s="91"/>
    </row>
    <row r="584" spans="6:18" x14ac:dyDescent="0.25">
      <c r="F584" s="105"/>
      <c r="R584" s="91"/>
    </row>
    <row r="585" spans="6:18" x14ac:dyDescent="0.25">
      <c r="F585" s="105"/>
      <c r="R585" s="91"/>
    </row>
    <row r="586" spans="6:18" x14ac:dyDescent="0.25">
      <c r="F586" s="105"/>
      <c r="R586" s="91"/>
    </row>
    <row r="587" spans="6:18" x14ac:dyDescent="0.25">
      <c r="F587" s="105"/>
      <c r="R587" s="91"/>
    </row>
    <row r="588" spans="6:18" x14ac:dyDescent="0.25">
      <c r="F588" s="105"/>
      <c r="R588" s="91"/>
    </row>
    <row r="589" spans="6:18" x14ac:dyDescent="0.25">
      <c r="F589" s="105"/>
      <c r="R589" s="91"/>
    </row>
    <row r="590" spans="6:18" x14ac:dyDescent="0.25">
      <c r="F590" s="105"/>
      <c r="R590" s="91"/>
    </row>
    <row r="591" spans="6:18" x14ac:dyDescent="0.25">
      <c r="F591" s="105"/>
      <c r="R591" s="91"/>
    </row>
    <row r="592" spans="6:18" x14ac:dyDescent="0.25">
      <c r="F592" s="105"/>
      <c r="R592" s="91"/>
    </row>
    <row r="593" spans="6:18" x14ac:dyDescent="0.25">
      <c r="F593" s="105"/>
      <c r="R593" s="91"/>
    </row>
    <row r="594" spans="6:18" x14ac:dyDescent="0.25">
      <c r="F594" s="105"/>
      <c r="R594" s="91"/>
    </row>
    <row r="595" spans="6:18" x14ac:dyDescent="0.25">
      <c r="F595" s="105"/>
      <c r="R595" s="91"/>
    </row>
  </sheetData>
  <mergeCells count="10">
    <mergeCell ref="J6:K8"/>
    <mergeCell ref="J1:K2"/>
    <mergeCell ref="J3:K5"/>
    <mergeCell ref="L1:Z1"/>
    <mergeCell ref="M2:Z2"/>
    <mergeCell ref="AE1:AH1"/>
    <mergeCell ref="AJ1:AN1"/>
    <mergeCell ref="B2:G2"/>
    <mergeCell ref="A1:G1"/>
    <mergeCell ref="H2:H3"/>
  </mergeCells>
  <pageMargins left="0.23622047244094491" right="0.23622047244094491" top="0.74803149606299213" bottom="0.74803149606299213" header="0.31496062992125984" footer="0.31496062992125984"/>
  <pageSetup paperSize="9" scale="13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SearchCorrector">
                <anchor moveWithCells="1" sizeWithCells="1">
                  <from>
                    <xdr:col>9</xdr:col>
                    <xdr:colOff>76200</xdr:colOff>
                    <xdr:row>0</xdr:row>
                    <xdr:rowOff>66675</xdr:rowOff>
                  </from>
                  <to>
                    <xdr:col>10</xdr:col>
                    <xdr:colOff>695325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ClearDashboard">
                <anchor moveWithCells="1" sizeWithCells="1">
                  <from>
                    <xdr:col>9</xdr:col>
                    <xdr:colOff>66675</xdr:colOff>
                    <xdr:row>5</xdr:row>
                    <xdr:rowOff>57150</xdr:rowOff>
                  </from>
                  <to>
                    <xdr:col>10</xdr:col>
                    <xdr:colOff>685800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QuickStockLookup">
                <anchor moveWithCells="1" sizeWithCells="1">
                  <from>
                    <xdr:col>7</xdr:col>
                    <xdr:colOff>104775</xdr:colOff>
                    <xdr:row>0</xdr:row>
                    <xdr:rowOff>104775</xdr:rowOff>
                  </from>
                  <to>
                    <xdr:col>7</xdr:col>
                    <xdr:colOff>1943100</xdr:colOff>
                    <xdr:row>0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7" name="Button 8">
              <controlPr defaultSize="0" print="0" autoFill="0" autoPict="0" macro="[0]!ClearDashboard">
                <anchor moveWithCells="1" sizeWithCells="1">
                  <from>
                    <xdr:col>7</xdr:col>
                    <xdr:colOff>66675</xdr:colOff>
                    <xdr:row>1</xdr:row>
                    <xdr:rowOff>66675</xdr:rowOff>
                  </from>
                  <to>
                    <xdr:col>7</xdr:col>
                    <xdr:colOff>1990725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ApplyCorrections">
                <anchor moveWithCells="1" sizeWithCells="1">
                  <from>
                    <xdr:col>9</xdr:col>
                    <xdr:colOff>66675</xdr:colOff>
                    <xdr:row>2</xdr:row>
                    <xdr:rowOff>57150</xdr:rowOff>
                  </from>
                  <to>
                    <xdr:col>10</xdr:col>
                    <xdr:colOff>685800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9" name="Button 10">
              <controlPr defaultSize="0" print="0" autoFill="0" autoPict="0" macro="[0]!RefreshFastMovingItems">
                <anchor moveWithCells="1" sizeWithCells="1">
                  <from>
                    <xdr:col>29</xdr:col>
                    <xdr:colOff>95250</xdr:colOff>
                    <xdr:row>0</xdr:row>
                    <xdr:rowOff>104775</xdr:rowOff>
                  </from>
                  <to>
                    <xdr:col>29</xdr:col>
                    <xdr:colOff>895350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0" name="Button 11">
              <controlPr defaultSize="0" print="0" autoFill="0" autoPict="0" macro="[0]!RefreshTodayOutgoing">
                <anchor moveWithCells="1" sizeWithCells="1">
                  <from>
                    <xdr:col>40</xdr:col>
                    <xdr:colOff>95250</xdr:colOff>
                    <xdr:row>0</xdr:row>
                    <xdr:rowOff>104775</xdr:rowOff>
                  </from>
                  <to>
                    <xdr:col>40</xdr:col>
                    <xdr:colOff>895350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AC846"/>
  <sheetViews>
    <sheetView topLeftCell="O1" zoomScale="74" zoomScaleNormal="74" workbookViewId="0">
      <selection activeCell="AG13" sqref="AG13"/>
    </sheetView>
  </sheetViews>
  <sheetFormatPr defaultRowHeight="19.5" customHeight="1" x14ac:dyDescent="0.25"/>
  <cols>
    <col min="1" max="1" width="20.85546875" style="215" customWidth="1"/>
    <col min="2" max="2" width="53.7109375" style="216" customWidth="1"/>
    <col min="3" max="3" width="19.7109375" style="217" customWidth="1"/>
    <col min="4" max="4" width="15.140625" style="218" customWidth="1"/>
    <col min="5" max="5" width="14" style="219" customWidth="1"/>
    <col min="6" max="6" width="15.28515625" style="220" bestFit="1" customWidth="1"/>
    <col min="7" max="7" width="9.7109375" style="235" customWidth="1"/>
    <col min="8" max="8" width="34.28515625" style="222" customWidth="1"/>
    <col min="9" max="9" width="26.42578125" style="223" customWidth="1"/>
    <col min="10" max="10" width="27.140625" style="217" customWidth="1"/>
    <col min="11" max="11" width="17.7109375" style="221" customWidth="1"/>
    <col min="12" max="12" width="18.85546875" style="18" bestFit="1" customWidth="1"/>
    <col min="13" max="13" width="29" style="224" customWidth="1"/>
    <col min="14" max="14" width="29" style="225" customWidth="1"/>
    <col min="15" max="15" width="8.42578125" style="135" bestFit="1" customWidth="1"/>
    <col min="16" max="16" width="13.140625" style="104" bestFit="1" customWidth="1"/>
    <col min="17" max="17" width="9.5703125" style="226" bestFit="1" customWidth="1"/>
    <col min="18" max="18" width="15.7109375" style="131" bestFit="1" customWidth="1"/>
    <col min="19" max="19" width="26" style="131" customWidth="1"/>
    <col min="20" max="20" width="10.28515625" style="131" customWidth="1"/>
    <col min="21" max="21" width="9.140625" style="131"/>
    <col min="22" max="22" width="10.28515625" style="131" customWidth="1"/>
    <col min="23" max="23" width="9.140625" style="131"/>
    <col min="24" max="24" width="5.7109375" style="131" customWidth="1"/>
    <col min="25" max="26" width="9.140625" style="131"/>
    <col min="27" max="27" width="12.28515625" style="131" customWidth="1"/>
    <col min="28" max="16384" width="9.140625" style="131"/>
  </cols>
  <sheetData>
    <row r="1" spans="1:29" s="290" customFormat="1" ht="19.5" customHeight="1" thickBot="1" x14ac:dyDescent="0.3">
      <c r="A1" s="276" t="s">
        <v>188</v>
      </c>
      <c r="B1" s="277" t="s">
        <v>172</v>
      </c>
      <c r="C1" s="278" t="s">
        <v>125</v>
      </c>
      <c r="D1" s="279" t="s">
        <v>39</v>
      </c>
      <c r="E1" s="280" t="s">
        <v>208</v>
      </c>
      <c r="F1" s="281" t="s">
        <v>209</v>
      </c>
      <c r="G1" s="282" t="s">
        <v>174</v>
      </c>
      <c r="H1" s="283" t="s">
        <v>210</v>
      </c>
      <c r="I1" s="283" t="s">
        <v>211</v>
      </c>
      <c r="J1" s="283" t="s">
        <v>40</v>
      </c>
      <c r="K1" s="284" t="s">
        <v>212</v>
      </c>
      <c r="L1" s="285" t="s">
        <v>213</v>
      </c>
      <c r="M1" s="286" t="s">
        <v>214</v>
      </c>
      <c r="N1" s="287" t="s">
        <v>215</v>
      </c>
      <c r="O1" s="288" t="s">
        <v>216</v>
      </c>
      <c r="P1" s="288" t="s">
        <v>175</v>
      </c>
      <c r="Q1" s="289" t="s">
        <v>217</v>
      </c>
      <c r="S1" s="127" t="s">
        <v>205</v>
      </c>
      <c r="T1" s="407" t="s">
        <v>100</v>
      </c>
      <c r="U1" s="407"/>
      <c r="V1" s="407"/>
      <c r="W1" s="408"/>
      <c r="Y1" s="413" t="s">
        <v>92</v>
      </c>
      <c r="Z1" s="414"/>
      <c r="AA1" s="414"/>
      <c r="AB1" s="414"/>
      <c r="AC1" s="415"/>
    </row>
    <row r="2" spans="1:29" ht="19.5" customHeight="1" thickBot="1" x14ac:dyDescent="0.3">
      <c r="A2" s="237"/>
      <c r="B2" s="238"/>
      <c r="C2" s="239"/>
      <c r="D2" s="54"/>
      <c r="E2" s="20"/>
      <c r="F2" s="240"/>
      <c r="G2" s="241"/>
      <c r="H2" s="242"/>
      <c r="I2" s="243"/>
      <c r="J2" s="239"/>
      <c r="K2" s="241"/>
      <c r="L2" s="52"/>
      <c r="M2" s="244"/>
      <c r="N2" s="245"/>
      <c r="O2" s="246"/>
      <c r="P2" s="247"/>
      <c r="Q2" s="248"/>
      <c r="S2" s="128" t="s">
        <v>230</v>
      </c>
      <c r="T2" s="409"/>
      <c r="U2" s="409"/>
      <c r="V2" s="409"/>
      <c r="W2" s="410"/>
      <c r="Y2" s="416"/>
      <c r="Z2" s="417"/>
      <c r="AA2" s="417"/>
      <c r="AB2" s="417"/>
      <c r="AC2" s="418"/>
    </row>
    <row r="3" spans="1:29" ht="19.5" customHeight="1" x14ac:dyDescent="0.25">
      <c r="A3" s="237"/>
      <c r="B3" s="238"/>
      <c r="C3" s="239"/>
      <c r="D3" s="54"/>
      <c r="E3" s="20"/>
      <c r="F3" s="240"/>
      <c r="G3" s="241"/>
      <c r="H3" s="242"/>
      <c r="I3" s="243"/>
      <c r="J3" s="239"/>
      <c r="K3" s="241"/>
      <c r="L3" s="52"/>
      <c r="M3" s="244"/>
      <c r="N3" s="245"/>
      <c r="O3" s="246"/>
      <c r="P3" s="247"/>
      <c r="Q3" s="248"/>
      <c r="S3" s="128" t="s">
        <v>200</v>
      </c>
      <c r="T3" s="401" t="s">
        <v>93</v>
      </c>
      <c r="U3" s="401"/>
      <c r="V3" s="401"/>
      <c r="W3" s="402"/>
      <c r="Y3" s="419"/>
      <c r="Z3" s="420"/>
      <c r="AA3" s="420"/>
      <c r="AB3" s="420"/>
      <c r="AC3" s="421"/>
    </row>
    <row r="4" spans="1:29" ht="19.5" customHeight="1" x14ac:dyDescent="0.25">
      <c r="A4" s="237"/>
      <c r="B4" s="238"/>
      <c r="C4" s="239"/>
      <c r="D4" s="54"/>
      <c r="E4" s="20"/>
      <c r="F4" s="240"/>
      <c r="G4" s="241"/>
      <c r="H4" s="242"/>
      <c r="I4" s="243"/>
      <c r="J4" s="239"/>
      <c r="K4" s="241"/>
      <c r="L4" s="52"/>
      <c r="M4" s="244"/>
      <c r="N4" s="245"/>
      <c r="O4" s="246"/>
      <c r="P4" s="247"/>
      <c r="Q4" s="248"/>
      <c r="S4" s="128" t="s">
        <v>201</v>
      </c>
      <c r="T4" s="403"/>
      <c r="U4" s="403"/>
      <c r="V4" s="403"/>
      <c r="W4" s="404"/>
      <c r="Y4" s="398"/>
      <c r="Z4" s="399"/>
      <c r="AA4" s="411" t="s">
        <v>95</v>
      </c>
      <c r="AB4" s="411"/>
      <c r="AC4" s="412"/>
    </row>
    <row r="5" spans="1:29" ht="19.5" customHeight="1" x14ac:dyDescent="0.25">
      <c r="A5" s="237"/>
      <c r="B5" s="238"/>
      <c r="C5" s="239"/>
      <c r="D5" s="54"/>
      <c r="E5" s="20"/>
      <c r="F5" s="240"/>
      <c r="G5" s="241"/>
      <c r="H5" s="242"/>
      <c r="I5" s="243"/>
      <c r="J5" s="239"/>
      <c r="K5" s="241"/>
      <c r="L5" s="52"/>
      <c r="M5" s="244"/>
      <c r="N5" s="245"/>
      <c r="O5" s="246"/>
      <c r="P5" s="247"/>
      <c r="Q5" s="248"/>
      <c r="S5" s="128" t="s">
        <v>202</v>
      </c>
      <c r="T5" s="403"/>
      <c r="U5" s="403"/>
      <c r="V5" s="403"/>
      <c r="W5" s="404"/>
      <c r="Y5" s="398"/>
      <c r="Z5" s="399"/>
      <c r="AA5" s="411"/>
      <c r="AB5" s="411"/>
      <c r="AC5" s="412"/>
    </row>
    <row r="6" spans="1:29" ht="19.5" customHeight="1" x14ac:dyDescent="0.25">
      <c r="A6" s="237"/>
      <c r="B6" s="238"/>
      <c r="C6" s="239"/>
      <c r="D6" s="54"/>
      <c r="E6" s="20"/>
      <c r="F6" s="240"/>
      <c r="G6" s="241"/>
      <c r="H6" s="242"/>
      <c r="I6" s="243"/>
      <c r="J6" s="239"/>
      <c r="K6" s="241"/>
      <c r="L6" s="52"/>
      <c r="M6" s="244"/>
      <c r="N6" s="245"/>
      <c r="O6" s="246"/>
      <c r="P6" s="247"/>
      <c r="Q6" s="248"/>
      <c r="S6" s="128" t="s">
        <v>203</v>
      </c>
      <c r="T6" s="403"/>
      <c r="U6" s="403"/>
      <c r="V6" s="403"/>
      <c r="W6" s="404"/>
      <c r="Y6" s="398"/>
      <c r="Z6" s="399"/>
      <c r="AA6" s="411"/>
      <c r="AB6" s="411"/>
      <c r="AC6" s="412"/>
    </row>
    <row r="7" spans="1:29" ht="19.5" customHeight="1" x14ac:dyDescent="0.25">
      <c r="A7" s="237"/>
      <c r="B7" s="238"/>
      <c r="C7" s="239"/>
      <c r="D7" s="54"/>
      <c r="E7" s="20"/>
      <c r="F7" s="240"/>
      <c r="G7" s="241"/>
      <c r="H7" s="242"/>
      <c r="I7" s="243"/>
      <c r="J7" s="239"/>
      <c r="K7" s="241"/>
      <c r="L7" s="52"/>
      <c r="M7" s="244"/>
      <c r="N7" s="245"/>
      <c r="O7" s="246"/>
      <c r="P7" s="247"/>
      <c r="Q7" s="248"/>
      <c r="R7" s="227"/>
      <c r="S7" s="128" t="s">
        <v>204</v>
      </c>
      <c r="T7" s="403"/>
      <c r="U7" s="403"/>
      <c r="V7" s="403"/>
      <c r="W7" s="404"/>
      <c r="Y7" s="398"/>
      <c r="Z7" s="399"/>
      <c r="AA7" s="411"/>
      <c r="AB7" s="411"/>
      <c r="AC7" s="412"/>
    </row>
    <row r="8" spans="1:29" ht="19.5" customHeight="1" thickBot="1" x14ac:dyDescent="0.3">
      <c r="A8" s="237"/>
      <c r="B8" s="238"/>
      <c r="C8" s="239"/>
      <c r="D8" s="54"/>
      <c r="E8" s="20"/>
      <c r="F8" s="240"/>
      <c r="G8" s="241"/>
      <c r="H8" s="242"/>
      <c r="I8" s="243"/>
      <c r="J8" s="239"/>
      <c r="K8" s="241"/>
      <c r="L8" s="52"/>
      <c r="M8" s="244"/>
      <c r="N8" s="245"/>
      <c r="O8" s="246"/>
      <c r="P8" s="247"/>
      <c r="Q8" s="248"/>
      <c r="R8" s="228"/>
      <c r="S8" s="129" t="s">
        <v>203</v>
      </c>
      <c r="T8" s="405"/>
      <c r="U8" s="405"/>
      <c r="V8" s="405"/>
      <c r="W8" s="406"/>
      <c r="Y8" s="398" t="s">
        <v>93</v>
      </c>
      <c r="Z8" s="399"/>
      <c r="AA8" s="399"/>
      <c r="AB8" s="399"/>
      <c r="AC8" s="400"/>
    </row>
    <row r="9" spans="1:29" ht="19.5" customHeight="1" x14ac:dyDescent="0.25">
      <c r="A9" s="237"/>
      <c r="B9" s="238"/>
      <c r="C9" s="239"/>
      <c r="D9" s="54"/>
      <c r="E9" s="20"/>
      <c r="F9" s="240"/>
      <c r="G9" s="241"/>
      <c r="H9" s="242"/>
      <c r="I9" s="243"/>
      <c r="J9" s="239"/>
      <c r="K9" s="241"/>
      <c r="L9" s="52"/>
      <c r="M9" s="244"/>
      <c r="N9" s="245"/>
      <c r="O9" s="246"/>
      <c r="P9" s="247"/>
      <c r="Q9" s="248"/>
      <c r="R9" s="228"/>
      <c r="T9" s="422"/>
      <c r="U9" s="423"/>
      <c r="V9" s="423"/>
      <c r="W9" s="424"/>
      <c r="Y9" s="398"/>
      <c r="Z9" s="399"/>
      <c r="AA9" s="411" t="s">
        <v>94</v>
      </c>
      <c r="AB9" s="411"/>
      <c r="AC9" s="412"/>
    </row>
    <row r="10" spans="1:29" ht="19.5" customHeight="1" x14ac:dyDescent="0.25">
      <c r="A10" s="237"/>
      <c r="B10" s="238"/>
      <c r="C10" s="239"/>
      <c r="D10" s="54"/>
      <c r="E10" s="20"/>
      <c r="F10" s="240"/>
      <c r="G10" s="241"/>
      <c r="H10" s="242"/>
      <c r="I10" s="243"/>
      <c r="J10" s="239"/>
      <c r="K10" s="241"/>
      <c r="L10" s="52"/>
      <c r="M10" s="244"/>
      <c r="N10" s="245"/>
      <c r="O10" s="246"/>
      <c r="P10" s="247"/>
      <c r="Q10" s="248"/>
      <c r="R10" s="228"/>
      <c r="T10" s="425"/>
      <c r="U10" s="405"/>
      <c r="V10" s="405"/>
      <c r="W10" s="406"/>
      <c r="Y10" s="398"/>
      <c r="Z10" s="399"/>
      <c r="AA10" s="411"/>
      <c r="AB10" s="411"/>
      <c r="AC10" s="412"/>
    </row>
    <row r="11" spans="1:29" ht="19.5" customHeight="1" x14ac:dyDescent="0.25">
      <c r="A11" s="237"/>
      <c r="B11" s="238"/>
      <c r="C11" s="239"/>
      <c r="D11" s="54"/>
      <c r="E11" s="20"/>
      <c r="F11" s="240"/>
      <c r="G11" s="241"/>
      <c r="H11" s="242"/>
      <c r="I11" s="243"/>
      <c r="J11" s="239"/>
      <c r="K11" s="241"/>
      <c r="L11" s="52"/>
      <c r="M11" s="244"/>
      <c r="N11" s="245"/>
      <c r="O11" s="246"/>
      <c r="P11" s="247"/>
      <c r="Q11" s="248"/>
      <c r="R11" s="228"/>
      <c r="T11" s="422"/>
      <c r="U11" s="423"/>
      <c r="V11" s="423"/>
      <c r="W11" s="424"/>
      <c r="Y11" s="398"/>
      <c r="Z11" s="399"/>
      <c r="AA11" s="411"/>
      <c r="AB11" s="411"/>
      <c r="AC11" s="412"/>
    </row>
    <row r="12" spans="1:29" ht="19.5" customHeight="1" x14ac:dyDescent="0.25">
      <c r="A12" s="237"/>
      <c r="B12" s="249"/>
      <c r="C12" s="250"/>
      <c r="D12" s="130"/>
      <c r="E12" s="20"/>
      <c r="F12" s="251"/>
      <c r="G12" s="252"/>
      <c r="H12" s="242"/>
      <c r="I12" s="253"/>
      <c r="J12" s="250"/>
      <c r="K12" s="252"/>
      <c r="L12" s="52"/>
      <c r="M12" s="254"/>
      <c r="N12" s="255"/>
      <c r="O12" s="246"/>
      <c r="P12" s="247"/>
      <c r="Q12" s="248"/>
      <c r="T12" s="425"/>
      <c r="U12" s="405"/>
      <c r="V12" s="405"/>
      <c r="W12" s="406"/>
      <c r="Y12" s="398"/>
      <c r="Z12" s="399"/>
      <c r="AA12" s="411"/>
      <c r="AB12" s="411"/>
      <c r="AC12" s="412"/>
    </row>
    <row r="13" spans="1:29" ht="19.5" customHeight="1" x14ac:dyDescent="0.25">
      <c r="A13" s="237"/>
      <c r="B13" s="238"/>
      <c r="C13" s="239"/>
      <c r="D13" s="54"/>
      <c r="E13" s="20"/>
      <c r="F13" s="240"/>
      <c r="G13" s="241"/>
      <c r="H13" s="242"/>
      <c r="I13" s="243"/>
      <c r="J13" s="239"/>
      <c r="K13" s="241"/>
      <c r="L13" s="52"/>
      <c r="M13" s="244"/>
      <c r="N13" s="245"/>
      <c r="O13" s="246"/>
      <c r="P13" s="247"/>
      <c r="Q13" s="248"/>
      <c r="T13" s="229"/>
      <c r="U13" s="230"/>
      <c r="V13" s="230"/>
      <c r="W13" s="231"/>
      <c r="Y13" s="398"/>
      <c r="Z13" s="399"/>
      <c r="AA13" s="399"/>
      <c r="AB13" s="399"/>
      <c r="AC13" s="400"/>
    </row>
    <row r="14" spans="1:29" ht="19.5" customHeight="1" x14ac:dyDescent="0.25">
      <c r="A14" s="237"/>
      <c r="B14" s="238"/>
      <c r="C14" s="239"/>
      <c r="D14" s="54"/>
      <c r="E14" s="20"/>
      <c r="F14" s="240"/>
      <c r="G14" s="241"/>
      <c r="H14" s="242"/>
      <c r="I14" s="243"/>
      <c r="J14" s="239"/>
      <c r="K14" s="241"/>
      <c r="L14" s="52"/>
      <c r="M14" s="244"/>
      <c r="N14" s="245"/>
      <c r="O14" s="246"/>
      <c r="P14" s="247"/>
      <c r="Q14" s="248"/>
      <c r="T14" s="229"/>
      <c r="U14" s="230"/>
      <c r="V14" s="230"/>
      <c r="W14" s="231"/>
      <c r="Y14" s="398"/>
      <c r="Z14" s="399"/>
      <c r="AA14" s="411" t="s">
        <v>258</v>
      </c>
      <c r="AB14" s="411"/>
      <c r="AC14" s="412"/>
    </row>
    <row r="15" spans="1:29" ht="19.5" customHeight="1" x14ac:dyDescent="0.25">
      <c r="A15" s="237"/>
      <c r="B15" s="238"/>
      <c r="C15" s="239"/>
      <c r="D15" s="54"/>
      <c r="E15" s="20"/>
      <c r="F15" s="240"/>
      <c r="G15" s="241"/>
      <c r="H15" s="242"/>
      <c r="I15" s="243"/>
      <c r="J15" s="239"/>
      <c r="K15" s="241"/>
      <c r="L15" s="52"/>
      <c r="M15" s="244"/>
      <c r="N15" s="245"/>
      <c r="O15" s="246"/>
      <c r="P15" s="247"/>
      <c r="Q15" s="248"/>
      <c r="T15" s="229"/>
      <c r="U15" s="230"/>
      <c r="V15" s="230"/>
      <c r="W15" s="231"/>
      <c r="Y15" s="398"/>
      <c r="Z15" s="399"/>
      <c r="AA15" s="411"/>
      <c r="AB15" s="411"/>
      <c r="AC15" s="412"/>
    </row>
    <row r="16" spans="1:29" ht="19.5" customHeight="1" x14ac:dyDescent="0.25">
      <c r="A16" s="237"/>
      <c r="B16" s="238"/>
      <c r="C16" s="239"/>
      <c r="D16" s="54"/>
      <c r="E16" s="19"/>
      <c r="F16" s="240"/>
      <c r="G16" s="241"/>
      <c r="H16" s="242"/>
      <c r="I16" s="243"/>
      <c r="J16" s="239"/>
      <c r="K16" s="241"/>
      <c r="L16" s="52"/>
      <c r="M16" s="244"/>
      <c r="N16" s="245"/>
      <c r="O16" s="246"/>
      <c r="P16" s="247"/>
      <c r="Q16" s="248"/>
      <c r="T16" s="229"/>
      <c r="U16" s="230"/>
      <c r="V16" s="230"/>
      <c r="W16" s="231"/>
      <c r="Y16" s="398"/>
      <c r="Z16" s="399"/>
      <c r="AA16" s="411"/>
      <c r="AB16" s="411"/>
      <c r="AC16" s="412"/>
    </row>
    <row r="17" spans="1:29" ht="19.5" customHeight="1" x14ac:dyDescent="0.25">
      <c r="A17" s="237"/>
      <c r="B17" s="238"/>
      <c r="C17" s="239"/>
      <c r="D17" s="54"/>
      <c r="E17" s="20"/>
      <c r="F17" s="240"/>
      <c r="G17" s="241"/>
      <c r="H17" s="242"/>
      <c r="I17" s="243"/>
      <c r="J17" s="239"/>
      <c r="K17" s="241"/>
      <c r="L17" s="52"/>
      <c r="M17" s="244"/>
      <c r="N17" s="245"/>
      <c r="O17" s="246"/>
      <c r="P17" s="247"/>
      <c r="Q17" s="248"/>
      <c r="T17" s="229"/>
      <c r="U17" s="230"/>
      <c r="V17" s="230"/>
      <c r="W17" s="231"/>
      <c r="Y17" s="398"/>
      <c r="Z17" s="399"/>
      <c r="AA17" s="411"/>
      <c r="AB17" s="411"/>
      <c r="AC17" s="412"/>
    </row>
    <row r="18" spans="1:29" ht="19.5" customHeight="1" x14ac:dyDescent="0.25">
      <c r="A18" s="149"/>
      <c r="B18" s="150"/>
      <c r="C18" s="151"/>
      <c r="D18" s="152"/>
      <c r="E18" s="153"/>
      <c r="F18" s="154"/>
      <c r="G18" s="155"/>
      <c r="H18" s="156"/>
      <c r="I18" s="157"/>
      <c r="J18" s="151"/>
      <c r="K18" s="155"/>
      <c r="L18" s="158"/>
      <c r="M18" s="159"/>
      <c r="N18" s="160"/>
      <c r="O18" s="161"/>
      <c r="P18" s="162"/>
      <c r="Q18" s="163"/>
      <c r="T18" s="229"/>
      <c r="U18" s="230"/>
      <c r="V18" s="230"/>
      <c r="W18" s="231"/>
      <c r="Y18" s="398"/>
      <c r="Z18" s="399"/>
      <c r="AA18" s="399"/>
      <c r="AB18" s="399"/>
      <c r="AC18" s="400"/>
    </row>
    <row r="19" spans="1:29" ht="19.5" customHeight="1" x14ac:dyDescent="0.25">
      <c r="A19" s="237"/>
      <c r="B19" s="238"/>
      <c r="C19" s="239"/>
      <c r="D19" s="54"/>
      <c r="E19" s="20"/>
      <c r="F19" s="240"/>
      <c r="G19" s="241"/>
      <c r="H19" s="242"/>
      <c r="I19" s="243"/>
      <c r="J19" s="239"/>
      <c r="K19" s="241"/>
      <c r="L19" s="52"/>
      <c r="M19" s="244"/>
      <c r="N19" s="245"/>
      <c r="O19" s="246"/>
      <c r="P19" s="247"/>
      <c r="Q19" s="248"/>
      <c r="T19" s="229"/>
      <c r="U19" s="230"/>
      <c r="V19" s="230"/>
      <c r="W19" s="231"/>
      <c r="Y19" s="398"/>
      <c r="Z19" s="399"/>
      <c r="AA19" s="411" t="s">
        <v>259</v>
      </c>
      <c r="AB19" s="411"/>
      <c r="AC19" s="412"/>
    </row>
    <row r="20" spans="1:29" ht="19.5" customHeight="1" x14ac:dyDescent="0.25">
      <c r="A20" s="237"/>
      <c r="B20" s="238"/>
      <c r="C20" s="239"/>
      <c r="D20" s="54"/>
      <c r="E20" s="20"/>
      <c r="F20" s="240"/>
      <c r="G20" s="241"/>
      <c r="H20" s="242"/>
      <c r="I20" s="243"/>
      <c r="J20" s="239"/>
      <c r="K20" s="241"/>
      <c r="L20" s="52"/>
      <c r="M20" s="244"/>
      <c r="N20" s="245"/>
      <c r="O20" s="246"/>
      <c r="P20" s="247"/>
      <c r="Q20" s="248"/>
      <c r="T20" s="229"/>
      <c r="U20" s="230"/>
      <c r="V20" s="230"/>
      <c r="W20" s="231"/>
      <c r="Y20" s="398"/>
      <c r="Z20" s="399"/>
      <c r="AA20" s="411"/>
      <c r="AB20" s="411"/>
      <c r="AC20" s="412"/>
    </row>
    <row r="21" spans="1:29" ht="19.5" customHeight="1" x14ac:dyDescent="0.25">
      <c r="A21" s="237"/>
      <c r="B21" s="238"/>
      <c r="C21" s="239"/>
      <c r="D21" s="54"/>
      <c r="E21" s="20"/>
      <c r="F21" s="240"/>
      <c r="G21" s="241"/>
      <c r="H21" s="242"/>
      <c r="I21" s="243"/>
      <c r="J21" s="239"/>
      <c r="K21" s="241"/>
      <c r="L21" s="52"/>
      <c r="M21" s="244"/>
      <c r="N21" s="245"/>
      <c r="O21" s="246"/>
      <c r="P21" s="247"/>
      <c r="Q21" s="248"/>
      <c r="T21" s="229"/>
      <c r="U21" s="230"/>
      <c r="V21" s="230"/>
      <c r="W21" s="231"/>
      <c r="Y21" s="398"/>
      <c r="Z21" s="399"/>
      <c r="AA21" s="411"/>
      <c r="AB21" s="411"/>
      <c r="AC21" s="412"/>
    </row>
    <row r="22" spans="1:29" ht="19.5" customHeight="1" x14ac:dyDescent="0.25">
      <c r="A22" s="237"/>
      <c r="B22" s="238"/>
      <c r="C22" s="239"/>
      <c r="D22" s="54"/>
      <c r="E22" s="19"/>
      <c r="F22" s="240"/>
      <c r="G22" s="241"/>
      <c r="H22" s="242"/>
      <c r="I22" s="243"/>
      <c r="J22" s="239"/>
      <c r="K22" s="241"/>
      <c r="L22" s="52"/>
      <c r="M22" s="244"/>
      <c r="N22" s="245"/>
      <c r="O22" s="246"/>
      <c r="P22" s="247"/>
      <c r="Q22" s="248"/>
      <c r="T22" s="229"/>
      <c r="U22" s="230"/>
      <c r="V22" s="230"/>
      <c r="W22" s="231"/>
      <c r="Y22" s="398"/>
      <c r="Z22" s="399"/>
      <c r="AA22" s="399"/>
      <c r="AB22" s="399"/>
      <c r="AC22" s="400"/>
    </row>
    <row r="23" spans="1:29" ht="19.5" customHeight="1" x14ac:dyDescent="0.25">
      <c r="A23" s="237"/>
      <c r="B23" s="238"/>
      <c r="C23" s="239"/>
      <c r="D23" s="54"/>
      <c r="E23" s="20"/>
      <c r="F23" s="240"/>
      <c r="G23" s="241"/>
      <c r="H23" s="242"/>
      <c r="I23" s="243"/>
      <c r="J23" s="239"/>
      <c r="K23" s="241"/>
      <c r="L23" s="52"/>
      <c r="M23" s="244"/>
      <c r="N23" s="245"/>
      <c r="O23" s="246"/>
      <c r="P23" s="247"/>
      <c r="Q23" s="248"/>
      <c r="T23" s="229"/>
      <c r="U23" s="230"/>
      <c r="V23" s="230"/>
      <c r="W23" s="231"/>
      <c r="Y23" s="398"/>
      <c r="Z23" s="399"/>
      <c r="AA23" s="411" t="s">
        <v>96</v>
      </c>
      <c r="AB23" s="411"/>
      <c r="AC23" s="412"/>
    </row>
    <row r="24" spans="1:29" ht="19.5" customHeight="1" x14ac:dyDescent="0.25">
      <c r="A24" s="237"/>
      <c r="B24" s="238"/>
      <c r="C24" s="239"/>
      <c r="D24" s="54"/>
      <c r="E24" s="20"/>
      <c r="F24" s="240"/>
      <c r="G24" s="241"/>
      <c r="H24" s="242"/>
      <c r="I24" s="243"/>
      <c r="J24" s="239"/>
      <c r="K24" s="241"/>
      <c r="L24" s="52"/>
      <c r="M24" s="244"/>
      <c r="N24" s="245"/>
      <c r="O24" s="246"/>
      <c r="P24" s="247"/>
      <c r="Q24" s="248"/>
      <c r="T24" s="229"/>
      <c r="U24" s="230"/>
      <c r="V24" s="230"/>
      <c r="W24" s="231"/>
      <c r="Y24" s="398"/>
      <c r="Z24" s="399"/>
      <c r="AA24" s="411"/>
      <c r="AB24" s="411"/>
      <c r="AC24" s="412"/>
    </row>
    <row r="25" spans="1:29" ht="19.5" customHeight="1" thickBot="1" x14ac:dyDescent="0.3">
      <c r="A25" s="237"/>
      <c r="B25" s="238"/>
      <c r="C25" s="239"/>
      <c r="D25" s="54"/>
      <c r="E25" s="19"/>
      <c r="F25" s="240"/>
      <c r="G25" s="241"/>
      <c r="H25" s="242"/>
      <c r="I25" s="243"/>
      <c r="J25" s="239"/>
      <c r="K25" s="241"/>
      <c r="L25" s="52"/>
      <c r="M25" s="244"/>
      <c r="N25" s="245"/>
      <c r="O25" s="246"/>
      <c r="P25" s="247"/>
      <c r="Q25" s="248"/>
      <c r="T25" s="232"/>
      <c r="U25" s="233"/>
      <c r="V25" s="233"/>
      <c r="W25" s="234"/>
      <c r="Y25" s="398"/>
      <c r="Z25" s="399"/>
      <c r="AA25" s="411"/>
      <c r="AB25" s="411"/>
      <c r="AC25" s="412"/>
    </row>
    <row r="26" spans="1:29" ht="19.5" customHeight="1" thickBot="1" x14ac:dyDescent="0.3">
      <c r="A26" s="237"/>
      <c r="B26" s="238"/>
      <c r="C26" s="239"/>
      <c r="D26" s="54"/>
      <c r="E26" s="20"/>
      <c r="F26" s="240"/>
      <c r="G26" s="241"/>
      <c r="H26" s="242"/>
      <c r="I26" s="243"/>
      <c r="J26" s="239"/>
      <c r="K26" s="241"/>
      <c r="L26" s="52"/>
      <c r="M26" s="244"/>
      <c r="N26" s="245"/>
      <c r="O26" s="246"/>
      <c r="P26" s="247"/>
      <c r="Q26" s="248"/>
      <c r="Y26" s="426"/>
      <c r="Z26" s="427"/>
      <c r="AA26" s="428"/>
      <c r="AB26" s="428"/>
      <c r="AC26" s="429"/>
    </row>
    <row r="27" spans="1:29" ht="19.5" customHeight="1" x14ac:dyDescent="0.25">
      <c r="A27" s="237"/>
      <c r="B27" s="238"/>
      <c r="C27" s="239"/>
      <c r="D27" s="54"/>
      <c r="E27" s="20"/>
      <c r="F27" s="240"/>
      <c r="G27" s="241"/>
      <c r="H27" s="242"/>
      <c r="I27" s="243"/>
      <c r="J27" s="239"/>
      <c r="K27" s="241"/>
      <c r="L27" s="52"/>
      <c r="M27" s="244"/>
      <c r="N27" s="245"/>
      <c r="O27" s="246"/>
      <c r="P27" s="247"/>
      <c r="Q27" s="248"/>
    </row>
    <row r="28" spans="1:29" ht="19.5" customHeight="1" x14ac:dyDescent="0.25">
      <c r="A28" s="237"/>
      <c r="B28" s="238"/>
      <c r="C28" s="239"/>
      <c r="D28" s="54"/>
      <c r="E28" s="20"/>
      <c r="F28" s="240"/>
      <c r="G28" s="241"/>
      <c r="H28" s="242"/>
      <c r="I28" s="243"/>
      <c r="J28" s="239"/>
      <c r="K28" s="241"/>
      <c r="L28" s="52"/>
      <c r="M28" s="244"/>
      <c r="N28" s="245"/>
      <c r="O28" s="246"/>
      <c r="P28" s="247"/>
      <c r="Q28" s="248"/>
    </row>
    <row r="29" spans="1:29" ht="19.5" customHeight="1" x14ac:dyDescent="0.25">
      <c r="A29" s="237"/>
      <c r="B29" s="238"/>
      <c r="C29" s="239"/>
      <c r="D29" s="54"/>
      <c r="E29" s="20"/>
      <c r="F29" s="240"/>
      <c r="G29" s="241"/>
      <c r="H29" s="242"/>
      <c r="I29" s="243"/>
      <c r="J29" s="239"/>
      <c r="K29" s="241"/>
      <c r="L29" s="52"/>
      <c r="M29" s="244"/>
      <c r="N29" s="245"/>
      <c r="O29" s="246"/>
      <c r="P29" s="247"/>
      <c r="Q29" s="248"/>
    </row>
    <row r="30" spans="1:29" ht="19.5" customHeight="1" x14ac:dyDescent="0.25">
      <c r="A30" s="237"/>
      <c r="B30" s="238"/>
      <c r="C30" s="239"/>
      <c r="D30" s="54"/>
      <c r="E30" s="20"/>
      <c r="F30" s="240"/>
      <c r="G30" s="241"/>
      <c r="H30" s="242"/>
      <c r="I30" s="243"/>
      <c r="J30" s="239"/>
      <c r="K30" s="241"/>
      <c r="L30" s="52"/>
      <c r="M30" s="244"/>
      <c r="N30" s="245"/>
      <c r="O30" s="246"/>
      <c r="P30" s="247"/>
      <c r="Q30" s="248"/>
    </row>
    <row r="31" spans="1:29" ht="19.5" customHeight="1" x14ac:dyDescent="0.25">
      <c r="A31" s="237"/>
      <c r="B31" s="238"/>
      <c r="C31" s="239"/>
      <c r="D31" s="54"/>
      <c r="E31" s="20"/>
      <c r="F31" s="240"/>
      <c r="G31" s="241"/>
      <c r="H31" s="242"/>
      <c r="I31" s="243"/>
      <c r="J31" s="239"/>
      <c r="K31" s="241"/>
      <c r="L31" s="52"/>
      <c r="M31" s="244"/>
      <c r="N31" s="245"/>
      <c r="O31" s="246"/>
      <c r="P31" s="247"/>
      <c r="Q31" s="248"/>
    </row>
    <row r="32" spans="1:29" ht="19.5" customHeight="1" x14ac:dyDescent="0.25">
      <c r="A32" s="237"/>
      <c r="B32" s="238"/>
      <c r="C32" s="239"/>
      <c r="D32" s="54"/>
      <c r="E32" s="20"/>
      <c r="F32" s="240"/>
      <c r="G32" s="241"/>
      <c r="H32" s="242"/>
      <c r="I32" s="243"/>
      <c r="J32" s="239"/>
      <c r="K32" s="241"/>
      <c r="L32" s="52"/>
      <c r="M32" s="244"/>
      <c r="N32" s="245"/>
      <c r="O32" s="246"/>
      <c r="P32" s="247"/>
      <c r="Q32" s="248"/>
    </row>
    <row r="33" spans="1:23" ht="19.5" customHeight="1" x14ac:dyDescent="0.25">
      <c r="A33" s="237"/>
      <c r="B33" s="238"/>
      <c r="C33" s="239"/>
      <c r="D33" s="54"/>
      <c r="E33" s="20"/>
      <c r="F33" s="240"/>
      <c r="G33" s="241"/>
      <c r="H33" s="242"/>
      <c r="I33" s="243"/>
      <c r="J33" s="239"/>
      <c r="K33" s="241"/>
      <c r="L33" s="52"/>
      <c r="M33" s="244"/>
      <c r="N33" s="245"/>
      <c r="O33" s="246"/>
      <c r="P33" s="247"/>
      <c r="Q33" s="248"/>
    </row>
    <row r="34" spans="1:23" ht="19.5" customHeight="1" x14ac:dyDescent="0.25">
      <c r="A34" s="237"/>
      <c r="B34" s="238"/>
      <c r="C34" s="239"/>
      <c r="D34" s="54"/>
      <c r="E34" s="19"/>
      <c r="F34" s="240"/>
      <c r="G34" s="241"/>
      <c r="H34" s="242"/>
      <c r="I34" s="243"/>
      <c r="J34" s="239"/>
      <c r="K34" s="241"/>
      <c r="L34" s="52"/>
      <c r="M34" s="244"/>
      <c r="N34" s="245"/>
      <c r="O34" s="246"/>
      <c r="P34" s="247"/>
      <c r="Q34" s="248"/>
    </row>
    <row r="35" spans="1:23" ht="19.5" customHeight="1" x14ac:dyDescent="0.25">
      <c r="A35" s="237"/>
      <c r="B35" s="238"/>
      <c r="C35" s="239"/>
      <c r="D35" s="54"/>
      <c r="E35" s="19"/>
      <c r="F35" s="240"/>
      <c r="G35" s="241"/>
      <c r="H35" s="242"/>
      <c r="I35" s="243"/>
      <c r="J35" s="239"/>
      <c r="K35" s="241"/>
      <c r="L35" s="52"/>
      <c r="M35" s="244"/>
      <c r="N35" s="245"/>
      <c r="O35" s="246"/>
      <c r="P35" s="247"/>
      <c r="Q35" s="248"/>
    </row>
    <row r="36" spans="1:23" ht="19.5" customHeight="1" x14ac:dyDescent="0.25">
      <c r="A36" s="237"/>
      <c r="B36" s="238"/>
      <c r="C36" s="239"/>
      <c r="D36" s="54"/>
      <c r="E36" s="20"/>
      <c r="F36" s="240"/>
      <c r="G36" s="241"/>
      <c r="H36" s="242"/>
      <c r="I36" s="243"/>
      <c r="J36" s="239"/>
      <c r="K36" s="241"/>
      <c r="L36" s="52"/>
      <c r="M36" s="244"/>
      <c r="N36" s="245"/>
      <c r="O36" s="246"/>
      <c r="P36" s="247"/>
      <c r="Q36" s="248"/>
    </row>
    <row r="37" spans="1:23" ht="19.5" customHeight="1" x14ac:dyDescent="0.25">
      <c r="A37" s="237"/>
      <c r="B37" s="238"/>
      <c r="C37" s="239"/>
      <c r="D37" s="54"/>
      <c r="E37" s="19"/>
      <c r="F37" s="240"/>
      <c r="G37" s="241"/>
      <c r="H37" s="242"/>
      <c r="I37" s="243"/>
      <c r="J37" s="239"/>
      <c r="K37" s="241"/>
      <c r="L37" s="52"/>
      <c r="M37" s="244"/>
      <c r="N37" s="245"/>
      <c r="O37" s="246"/>
      <c r="P37" s="247"/>
      <c r="Q37" s="248"/>
    </row>
    <row r="38" spans="1:23" ht="19.5" customHeight="1" x14ac:dyDescent="0.25">
      <c r="A38" s="237"/>
      <c r="B38" s="238"/>
      <c r="C38" s="239"/>
      <c r="D38" s="54"/>
      <c r="E38" s="19"/>
      <c r="F38" s="240"/>
      <c r="G38" s="241"/>
      <c r="H38" s="242"/>
      <c r="I38" s="243"/>
      <c r="J38" s="239"/>
      <c r="K38" s="241"/>
      <c r="L38" s="52"/>
      <c r="M38" s="244"/>
      <c r="N38" s="245"/>
      <c r="O38" s="246"/>
      <c r="P38" s="247"/>
      <c r="Q38" s="248"/>
    </row>
    <row r="39" spans="1:23" ht="19.5" customHeight="1" x14ac:dyDescent="0.25">
      <c r="A39" s="237"/>
      <c r="B39" s="238"/>
      <c r="C39" s="239"/>
      <c r="D39" s="54"/>
      <c r="E39" s="20"/>
      <c r="F39" s="240"/>
      <c r="G39" s="241"/>
      <c r="H39" s="242"/>
      <c r="I39" s="243"/>
      <c r="J39" s="239"/>
      <c r="K39" s="241"/>
      <c r="L39" s="52"/>
      <c r="M39" s="244"/>
      <c r="N39" s="245"/>
      <c r="O39" s="246"/>
      <c r="P39" s="247"/>
      <c r="Q39" s="248"/>
    </row>
    <row r="40" spans="1:23" ht="19.5" customHeight="1" x14ac:dyDescent="0.25">
      <c r="A40" s="237"/>
      <c r="B40" s="238"/>
      <c r="C40" s="239"/>
      <c r="D40" s="54"/>
      <c r="E40" s="20"/>
      <c r="F40" s="240"/>
      <c r="G40" s="241"/>
      <c r="H40" s="242"/>
      <c r="I40" s="243"/>
      <c r="J40" s="239"/>
      <c r="K40" s="241"/>
      <c r="L40" s="52"/>
      <c r="M40" s="244"/>
      <c r="N40" s="245"/>
      <c r="O40" s="246"/>
      <c r="P40" s="247"/>
      <c r="Q40" s="248"/>
    </row>
    <row r="41" spans="1:23" ht="19.5" customHeight="1" x14ac:dyDescent="0.25">
      <c r="A41" s="237"/>
      <c r="B41" s="238"/>
      <c r="C41" s="239"/>
      <c r="D41" s="54"/>
      <c r="E41" s="19"/>
      <c r="F41" s="240"/>
      <c r="G41" s="241"/>
      <c r="H41" s="242"/>
      <c r="I41" s="243"/>
      <c r="J41" s="239"/>
      <c r="K41" s="241"/>
      <c r="L41" s="52"/>
      <c r="M41" s="244"/>
      <c r="N41" s="245"/>
      <c r="O41" s="246"/>
      <c r="P41" s="247"/>
      <c r="Q41" s="248"/>
      <c r="V41" s="131" t="s">
        <v>93</v>
      </c>
    </row>
    <row r="42" spans="1:23" ht="19.5" customHeight="1" x14ac:dyDescent="0.25">
      <c r="A42" s="237"/>
      <c r="B42" s="238"/>
      <c r="C42" s="239"/>
      <c r="D42" s="54"/>
      <c r="E42" s="20"/>
      <c r="F42" s="240"/>
      <c r="G42" s="241"/>
      <c r="H42" s="242"/>
      <c r="I42" s="243"/>
      <c r="J42" s="239"/>
      <c r="K42" s="241"/>
      <c r="L42" s="52"/>
      <c r="M42" s="244"/>
      <c r="N42" s="245"/>
      <c r="O42" s="246"/>
      <c r="P42" s="247"/>
      <c r="Q42" s="248"/>
      <c r="W42" s="131" t="s">
        <v>93</v>
      </c>
    </row>
    <row r="43" spans="1:23" ht="19.5" customHeight="1" x14ac:dyDescent="0.25">
      <c r="A43" s="237"/>
      <c r="B43" s="238"/>
      <c r="C43" s="239"/>
      <c r="D43" s="54"/>
      <c r="E43" s="19"/>
      <c r="F43" s="240"/>
      <c r="G43" s="241"/>
      <c r="H43" s="242"/>
      <c r="I43" s="243"/>
      <c r="J43" s="239"/>
      <c r="K43" s="241"/>
      <c r="L43" s="52"/>
      <c r="M43" s="244"/>
      <c r="N43" s="245"/>
      <c r="O43" s="246"/>
      <c r="P43" s="247"/>
      <c r="Q43" s="248"/>
    </row>
    <row r="44" spans="1:23" ht="19.5" customHeight="1" x14ac:dyDescent="0.25">
      <c r="A44" s="237"/>
      <c r="B44" s="238"/>
      <c r="C44" s="239"/>
      <c r="D44" s="54"/>
      <c r="E44" s="19"/>
      <c r="F44" s="240"/>
      <c r="G44" s="241"/>
      <c r="H44" s="242"/>
      <c r="I44" s="243"/>
      <c r="J44" s="239"/>
      <c r="K44" s="241"/>
      <c r="L44" s="52"/>
      <c r="M44" s="244"/>
      <c r="N44" s="245"/>
      <c r="O44" s="246"/>
      <c r="P44" s="247"/>
      <c r="Q44" s="248"/>
    </row>
    <row r="45" spans="1:23" ht="19.5" customHeight="1" x14ac:dyDescent="0.25">
      <c r="A45" s="237"/>
      <c r="B45" s="238"/>
      <c r="C45" s="239"/>
      <c r="D45" s="54"/>
      <c r="E45" s="20"/>
      <c r="F45" s="240"/>
      <c r="G45" s="241"/>
      <c r="H45" s="242"/>
      <c r="I45" s="243"/>
      <c r="J45" s="239"/>
      <c r="K45" s="241"/>
      <c r="L45" s="52"/>
      <c r="M45" s="244"/>
      <c r="N45" s="245"/>
      <c r="O45" s="246"/>
      <c r="P45" s="247"/>
      <c r="Q45" s="248"/>
    </row>
    <row r="46" spans="1:23" ht="19.5" customHeight="1" x14ac:dyDescent="0.25">
      <c r="A46" s="237"/>
      <c r="B46" s="238"/>
      <c r="C46" s="239"/>
      <c r="D46" s="54"/>
      <c r="E46" s="20"/>
      <c r="F46" s="240"/>
      <c r="G46" s="241"/>
      <c r="H46" s="242"/>
      <c r="I46" s="243"/>
      <c r="J46" s="239"/>
      <c r="K46" s="241"/>
      <c r="L46" s="52"/>
      <c r="M46" s="244"/>
      <c r="N46" s="245"/>
      <c r="O46" s="246"/>
      <c r="P46" s="247"/>
      <c r="Q46" s="248"/>
    </row>
    <row r="47" spans="1:23" ht="19.5" customHeight="1" x14ac:dyDescent="0.25">
      <c r="A47" s="237"/>
      <c r="B47" s="238"/>
      <c r="C47" s="239"/>
      <c r="D47" s="54"/>
      <c r="E47" s="20"/>
      <c r="F47" s="240"/>
      <c r="G47" s="241"/>
      <c r="H47" s="242"/>
      <c r="I47" s="243"/>
      <c r="J47" s="239"/>
      <c r="K47" s="241"/>
      <c r="L47" s="52"/>
      <c r="M47" s="244"/>
      <c r="N47" s="245"/>
      <c r="O47" s="246"/>
      <c r="P47" s="247"/>
      <c r="Q47" s="248"/>
    </row>
    <row r="48" spans="1:23" ht="19.5" customHeight="1" x14ac:dyDescent="0.25">
      <c r="A48" s="237"/>
      <c r="B48" s="238"/>
      <c r="C48" s="239"/>
      <c r="D48" s="54"/>
      <c r="E48" s="20"/>
      <c r="F48" s="240"/>
      <c r="G48" s="241"/>
      <c r="H48" s="242"/>
      <c r="I48" s="243"/>
      <c r="J48" s="239"/>
      <c r="K48" s="241"/>
      <c r="L48" s="52"/>
      <c r="M48" s="244"/>
      <c r="N48" s="245"/>
      <c r="O48" s="246"/>
      <c r="P48" s="247"/>
      <c r="Q48" s="248"/>
    </row>
    <row r="49" spans="1:17" ht="19.5" customHeight="1" x14ac:dyDescent="0.25">
      <c r="A49" s="237"/>
      <c r="B49" s="238"/>
      <c r="C49" s="239"/>
      <c r="D49" s="54"/>
      <c r="E49" s="20"/>
      <c r="F49" s="240"/>
      <c r="G49" s="241"/>
      <c r="H49" s="242"/>
      <c r="I49" s="243"/>
      <c r="J49" s="239"/>
      <c r="K49" s="241"/>
      <c r="L49" s="52"/>
      <c r="M49" s="244"/>
      <c r="N49" s="245"/>
      <c r="O49" s="246"/>
      <c r="P49" s="247"/>
      <c r="Q49" s="248"/>
    </row>
    <row r="50" spans="1:17" ht="19.5" customHeight="1" x14ac:dyDescent="0.25">
      <c r="A50" s="237"/>
      <c r="B50" s="238"/>
      <c r="C50" s="239"/>
      <c r="D50" s="54"/>
      <c r="E50" s="20"/>
      <c r="F50" s="240"/>
      <c r="G50" s="241"/>
      <c r="H50" s="242"/>
      <c r="I50" s="243"/>
      <c r="J50" s="239"/>
      <c r="K50" s="241"/>
      <c r="L50" s="52"/>
      <c r="M50" s="244"/>
      <c r="N50" s="245"/>
      <c r="O50" s="246"/>
      <c r="P50" s="247"/>
      <c r="Q50" s="248"/>
    </row>
    <row r="51" spans="1:17" ht="19.5" customHeight="1" x14ac:dyDescent="0.25">
      <c r="A51" s="237"/>
      <c r="B51" s="238"/>
      <c r="C51" s="239"/>
      <c r="D51" s="54"/>
      <c r="E51" s="19"/>
      <c r="F51" s="240"/>
      <c r="G51" s="241"/>
      <c r="H51" s="242"/>
      <c r="I51" s="243"/>
      <c r="J51" s="239"/>
      <c r="K51" s="241"/>
      <c r="L51" s="52"/>
      <c r="M51" s="244"/>
      <c r="N51" s="245"/>
      <c r="O51" s="246"/>
      <c r="P51" s="247"/>
      <c r="Q51" s="248"/>
    </row>
    <row r="52" spans="1:17" ht="19.5" customHeight="1" x14ac:dyDescent="0.25">
      <c r="A52" s="237"/>
      <c r="B52" s="238"/>
      <c r="C52" s="239"/>
      <c r="D52" s="54"/>
      <c r="E52" s="20"/>
      <c r="F52" s="240"/>
      <c r="G52" s="241"/>
      <c r="H52" s="242"/>
      <c r="I52" s="243"/>
      <c r="J52" s="239"/>
      <c r="K52" s="241"/>
      <c r="L52" s="52"/>
      <c r="M52" s="244"/>
      <c r="N52" s="245"/>
      <c r="O52" s="246"/>
      <c r="P52" s="247"/>
      <c r="Q52" s="248"/>
    </row>
    <row r="53" spans="1:17" ht="19.5" customHeight="1" x14ac:dyDescent="0.25">
      <c r="A53" s="237"/>
      <c r="B53" s="238"/>
      <c r="C53" s="239"/>
      <c r="D53" s="54"/>
      <c r="E53" s="19"/>
      <c r="F53" s="240"/>
      <c r="G53" s="241"/>
      <c r="H53" s="242"/>
      <c r="I53" s="243"/>
      <c r="J53" s="239"/>
      <c r="K53" s="241"/>
      <c r="L53" s="52"/>
      <c r="M53" s="244"/>
      <c r="N53" s="245"/>
      <c r="O53" s="246"/>
      <c r="P53" s="247"/>
      <c r="Q53" s="248"/>
    </row>
    <row r="54" spans="1:17" ht="19.5" customHeight="1" x14ac:dyDescent="0.25">
      <c r="A54" s="237"/>
      <c r="B54" s="238"/>
      <c r="C54" s="239"/>
      <c r="D54" s="54"/>
      <c r="E54" s="19"/>
      <c r="F54" s="240"/>
      <c r="G54" s="241"/>
      <c r="H54" s="242"/>
      <c r="I54" s="243"/>
      <c r="J54" s="239"/>
      <c r="K54" s="241"/>
      <c r="L54" s="52"/>
      <c r="M54" s="244"/>
      <c r="N54" s="245"/>
      <c r="O54" s="246"/>
      <c r="P54" s="247"/>
      <c r="Q54" s="248"/>
    </row>
    <row r="55" spans="1:17" ht="19.5" customHeight="1" x14ac:dyDescent="0.25">
      <c r="A55" s="237"/>
      <c r="B55" s="238"/>
      <c r="C55" s="239"/>
      <c r="D55" s="54"/>
      <c r="E55" s="20"/>
      <c r="F55" s="240"/>
      <c r="G55" s="241"/>
      <c r="H55" s="242"/>
      <c r="I55" s="243"/>
      <c r="J55" s="239"/>
      <c r="K55" s="241"/>
      <c r="L55" s="52"/>
      <c r="M55" s="244"/>
      <c r="N55" s="245"/>
      <c r="O55" s="246"/>
      <c r="P55" s="247"/>
      <c r="Q55" s="248"/>
    </row>
    <row r="56" spans="1:17" ht="19.5" customHeight="1" x14ac:dyDescent="0.25">
      <c r="A56" s="237"/>
      <c r="B56" s="238"/>
      <c r="C56" s="239"/>
      <c r="D56" s="54"/>
      <c r="E56" s="20"/>
      <c r="F56" s="240"/>
      <c r="G56" s="241"/>
      <c r="H56" s="242"/>
      <c r="I56" s="243"/>
      <c r="J56" s="239"/>
      <c r="K56" s="241"/>
      <c r="L56" s="52"/>
      <c r="M56" s="244"/>
      <c r="N56" s="245"/>
      <c r="O56" s="246"/>
      <c r="P56" s="247"/>
      <c r="Q56" s="248"/>
    </row>
    <row r="57" spans="1:17" ht="19.5" customHeight="1" x14ac:dyDescent="0.25">
      <c r="A57" s="149"/>
      <c r="B57" s="150"/>
      <c r="C57" s="151"/>
      <c r="D57" s="152"/>
      <c r="E57" s="153"/>
      <c r="F57" s="154"/>
      <c r="G57" s="155"/>
      <c r="H57" s="156"/>
      <c r="I57" s="157"/>
      <c r="J57" s="151"/>
      <c r="K57" s="155"/>
      <c r="L57" s="158"/>
      <c r="M57" s="159"/>
      <c r="N57" s="160"/>
      <c r="O57" s="161"/>
      <c r="P57" s="162"/>
      <c r="Q57" s="163"/>
    </row>
    <row r="58" spans="1:17" ht="19.5" customHeight="1" x14ac:dyDescent="0.25">
      <c r="A58" s="149"/>
      <c r="B58" s="150"/>
      <c r="C58" s="151"/>
      <c r="D58" s="152"/>
      <c r="E58" s="153"/>
      <c r="F58" s="154"/>
      <c r="G58" s="155"/>
      <c r="H58" s="156"/>
      <c r="I58" s="157"/>
      <c r="J58" s="151"/>
      <c r="K58" s="155"/>
      <c r="L58" s="158"/>
      <c r="M58" s="159"/>
      <c r="N58" s="160"/>
      <c r="O58" s="161"/>
      <c r="P58" s="162"/>
      <c r="Q58" s="163"/>
    </row>
    <row r="59" spans="1:17" ht="19.5" customHeight="1" x14ac:dyDescent="0.25">
      <c r="A59" s="164"/>
      <c r="B59" s="165"/>
      <c r="C59" s="166"/>
      <c r="D59" s="167"/>
      <c r="E59" s="168"/>
      <c r="F59" s="169"/>
      <c r="G59" s="170"/>
      <c r="H59" s="171"/>
      <c r="I59" s="172"/>
      <c r="J59" s="166"/>
      <c r="K59" s="170"/>
      <c r="L59" s="173"/>
      <c r="M59" s="174"/>
      <c r="N59" s="175"/>
      <c r="O59" s="176"/>
      <c r="P59" s="177"/>
      <c r="Q59" s="178"/>
    </row>
    <row r="60" spans="1:17" ht="19.5" customHeight="1" x14ac:dyDescent="0.25">
      <c r="A60" s="149"/>
      <c r="B60" s="150"/>
      <c r="C60" s="151"/>
      <c r="D60" s="152"/>
      <c r="E60" s="153"/>
      <c r="F60" s="154"/>
      <c r="G60" s="155"/>
      <c r="H60" s="156"/>
      <c r="I60" s="157"/>
      <c r="J60" s="151"/>
      <c r="K60" s="155"/>
      <c r="L60" s="158"/>
      <c r="M60" s="159"/>
      <c r="N60" s="160"/>
      <c r="O60" s="161"/>
      <c r="P60" s="162"/>
      <c r="Q60" s="163"/>
    </row>
    <row r="61" spans="1:17" ht="19.5" customHeight="1" x14ac:dyDescent="0.25">
      <c r="A61" s="237"/>
      <c r="B61" s="238"/>
      <c r="C61" s="239"/>
      <c r="D61" s="54"/>
      <c r="E61" s="19"/>
      <c r="F61" s="240"/>
      <c r="G61" s="241"/>
      <c r="H61" s="242"/>
      <c r="I61" s="243"/>
      <c r="J61" s="239"/>
      <c r="K61" s="241"/>
      <c r="L61" s="52"/>
      <c r="M61" s="244"/>
      <c r="N61" s="245"/>
      <c r="O61" s="246"/>
      <c r="P61" s="247"/>
      <c r="Q61" s="248"/>
    </row>
    <row r="62" spans="1:17" ht="19.5" customHeight="1" x14ac:dyDescent="0.25">
      <c r="A62" s="237"/>
      <c r="B62" s="238"/>
      <c r="C62" s="239"/>
      <c r="D62" s="54"/>
      <c r="E62" s="19"/>
      <c r="F62" s="240"/>
      <c r="G62" s="241"/>
      <c r="H62" s="242"/>
      <c r="I62" s="243"/>
      <c r="J62" s="239"/>
      <c r="K62" s="241"/>
      <c r="L62" s="52"/>
      <c r="M62" s="244"/>
      <c r="N62" s="245"/>
      <c r="O62" s="246"/>
      <c r="P62" s="247"/>
      <c r="Q62" s="248"/>
    </row>
    <row r="63" spans="1:17" ht="19.5" customHeight="1" x14ac:dyDescent="0.25">
      <c r="A63" s="237"/>
      <c r="B63" s="238"/>
      <c r="C63" s="239"/>
      <c r="D63" s="54"/>
      <c r="E63" s="19"/>
      <c r="F63" s="240"/>
      <c r="G63" s="241"/>
      <c r="H63" s="242"/>
      <c r="I63" s="243"/>
      <c r="J63" s="239"/>
      <c r="K63" s="241"/>
      <c r="L63" s="52"/>
      <c r="M63" s="244"/>
      <c r="N63" s="245"/>
      <c r="O63" s="246"/>
      <c r="P63" s="247"/>
      <c r="Q63" s="248"/>
    </row>
    <row r="64" spans="1:17" ht="19.5" customHeight="1" x14ac:dyDescent="0.25">
      <c r="A64" s="237"/>
      <c r="B64" s="238"/>
      <c r="C64" s="239"/>
      <c r="D64" s="54"/>
      <c r="E64" s="20"/>
      <c r="F64" s="240"/>
      <c r="G64" s="241"/>
      <c r="H64" s="242"/>
      <c r="I64" s="243"/>
      <c r="J64" s="239"/>
      <c r="K64" s="241"/>
      <c r="L64" s="52"/>
      <c r="M64" s="244"/>
      <c r="N64" s="245"/>
      <c r="O64" s="246"/>
      <c r="P64" s="247"/>
      <c r="Q64" s="248"/>
    </row>
    <row r="65" spans="1:17" ht="19.5" customHeight="1" x14ac:dyDescent="0.25">
      <c r="A65" s="237"/>
      <c r="B65" s="238"/>
      <c r="C65" s="239"/>
      <c r="D65" s="54"/>
      <c r="E65" s="20"/>
      <c r="F65" s="240"/>
      <c r="G65" s="241"/>
      <c r="H65" s="242"/>
      <c r="I65" s="243"/>
      <c r="J65" s="239"/>
      <c r="K65" s="241"/>
      <c r="L65" s="52"/>
      <c r="M65" s="244"/>
      <c r="N65" s="245"/>
      <c r="O65" s="246"/>
      <c r="P65" s="247"/>
      <c r="Q65" s="248"/>
    </row>
    <row r="66" spans="1:17" ht="19.5" customHeight="1" x14ac:dyDescent="0.25">
      <c r="A66" s="237"/>
      <c r="B66" s="238"/>
      <c r="C66" s="239"/>
      <c r="D66" s="54"/>
      <c r="E66" s="20"/>
      <c r="F66" s="240"/>
      <c r="G66" s="241"/>
      <c r="H66" s="242"/>
      <c r="I66" s="243"/>
      <c r="J66" s="239"/>
      <c r="K66" s="241"/>
      <c r="L66" s="52"/>
      <c r="M66" s="244"/>
      <c r="N66" s="245"/>
      <c r="O66" s="246"/>
      <c r="P66" s="247"/>
      <c r="Q66" s="248"/>
    </row>
    <row r="67" spans="1:17" ht="19.5" customHeight="1" x14ac:dyDescent="0.25">
      <c r="A67" s="237"/>
      <c r="B67" s="238"/>
      <c r="C67" s="239"/>
      <c r="D67" s="54"/>
      <c r="E67" s="20"/>
      <c r="F67" s="240"/>
      <c r="G67" s="241"/>
      <c r="H67" s="242"/>
      <c r="I67" s="243"/>
      <c r="J67" s="239"/>
      <c r="K67" s="241"/>
      <c r="L67" s="52"/>
      <c r="M67" s="244"/>
      <c r="N67" s="245"/>
      <c r="O67" s="246"/>
      <c r="P67" s="247"/>
      <c r="Q67" s="248"/>
    </row>
    <row r="68" spans="1:17" ht="19.5" customHeight="1" x14ac:dyDescent="0.25">
      <c r="A68" s="237"/>
      <c r="B68" s="238"/>
      <c r="C68" s="239"/>
      <c r="D68" s="54"/>
      <c r="E68" s="19"/>
      <c r="F68" s="240"/>
      <c r="G68" s="241"/>
      <c r="H68" s="242"/>
      <c r="I68" s="243"/>
      <c r="J68" s="239"/>
      <c r="K68" s="241"/>
      <c r="L68" s="52"/>
      <c r="M68" s="244"/>
      <c r="N68" s="245"/>
      <c r="O68" s="246"/>
      <c r="P68" s="247"/>
      <c r="Q68" s="248"/>
    </row>
    <row r="69" spans="1:17" ht="19.5" customHeight="1" x14ac:dyDescent="0.25">
      <c r="A69" s="237"/>
      <c r="B69" s="238"/>
      <c r="C69" s="239"/>
      <c r="D69" s="54"/>
      <c r="E69" s="20"/>
      <c r="F69" s="240"/>
      <c r="G69" s="241"/>
      <c r="H69" s="242"/>
      <c r="I69" s="243"/>
      <c r="J69" s="239"/>
      <c r="K69" s="241"/>
      <c r="L69" s="52"/>
      <c r="M69" s="244"/>
      <c r="N69" s="245"/>
      <c r="O69" s="246"/>
      <c r="P69" s="247"/>
      <c r="Q69" s="248"/>
    </row>
    <row r="70" spans="1:17" ht="19.5" customHeight="1" x14ac:dyDescent="0.25">
      <c r="A70" s="237"/>
      <c r="B70" s="238"/>
      <c r="C70" s="239"/>
      <c r="D70" s="54"/>
      <c r="E70" s="20"/>
      <c r="F70" s="240"/>
      <c r="G70" s="241"/>
      <c r="H70" s="242"/>
      <c r="I70" s="243"/>
      <c r="J70" s="239"/>
      <c r="K70" s="241"/>
      <c r="L70" s="52"/>
      <c r="M70" s="244"/>
      <c r="N70" s="245"/>
      <c r="O70" s="246"/>
      <c r="P70" s="247"/>
      <c r="Q70" s="248"/>
    </row>
    <row r="71" spans="1:17" ht="19.5" customHeight="1" x14ac:dyDescent="0.25">
      <c r="A71" s="237"/>
      <c r="B71" s="238"/>
      <c r="C71" s="239"/>
      <c r="D71" s="54"/>
      <c r="E71" s="19"/>
      <c r="F71" s="240"/>
      <c r="G71" s="241"/>
      <c r="H71" s="242"/>
      <c r="I71" s="243"/>
      <c r="J71" s="239"/>
      <c r="K71" s="241"/>
      <c r="L71" s="52"/>
      <c r="M71" s="244"/>
      <c r="N71" s="245"/>
      <c r="O71" s="246"/>
      <c r="P71" s="247"/>
      <c r="Q71" s="248"/>
    </row>
    <row r="72" spans="1:17" ht="19.5" customHeight="1" x14ac:dyDescent="0.25">
      <c r="A72" s="164"/>
      <c r="B72" s="165"/>
      <c r="C72" s="166"/>
      <c r="D72" s="167"/>
      <c r="E72" s="168"/>
      <c r="F72" s="169"/>
      <c r="G72" s="170"/>
      <c r="H72" s="171"/>
      <c r="I72" s="172"/>
      <c r="J72" s="166"/>
      <c r="K72" s="170"/>
      <c r="L72" s="173"/>
      <c r="M72" s="174"/>
      <c r="N72" s="175"/>
      <c r="O72" s="176"/>
      <c r="P72" s="177"/>
      <c r="Q72" s="178"/>
    </row>
    <row r="73" spans="1:17" ht="19.5" customHeight="1" x14ac:dyDescent="0.25">
      <c r="A73" s="237"/>
      <c r="B73" s="238"/>
      <c r="C73" s="239"/>
      <c r="D73" s="54"/>
      <c r="E73" s="20"/>
      <c r="F73" s="240"/>
      <c r="G73" s="241"/>
      <c r="H73" s="242"/>
      <c r="I73" s="243"/>
      <c r="J73" s="239"/>
      <c r="K73" s="241"/>
      <c r="L73" s="52"/>
      <c r="M73" s="244"/>
      <c r="N73" s="245"/>
      <c r="O73" s="246"/>
      <c r="P73" s="247"/>
      <c r="Q73" s="248"/>
    </row>
    <row r="74" spans="1:17" ht="19.5" customHeight="1" x14ac:dyDescent="0.25">
      <c r="A74" s="237"/>
      <c r="B74" s="238"/>
      <c r="C74" s="239"/>
      <c r="D74" s="54"/>
      <c r="E74" s="20"/>
      <c r="F74" s="240"/>
      <c r="G74" s="241"/>
      <c r="H74" s="242"/>
      <c r="I74" s="243"/>
      <c r="J74" s="239"/>
      <c r="K74" s="241"/>
      <c r="L74" s="52"/>
      <c r="M74" s="244"/>
      <c r="N74" s="245"/>
      <c r="O74" s="246"/>
      <c r="P74" s="247"/>
      <c r="Q74" s="248"/>
    </row>
    <row r="75" spans="1:17" ht="19.5" customHeight="1" x14ac:dyDescent="0.25">
      <c r="A75" s="237"/>
      <c r="B75" s="238"/>
      <c r="C75" s="239"/>
      <c r="D75" s="54"/>
      <c r="E75" s="19"/>
      <c r="F75" s="240"/>
      <c r="G75" s="241"/>
      <c r="H75" s="242"/>
      <c r="I75" s="243"/>
      <c r="J75" s="239"/>
      <c r="K75" s="241"/>
      <c r="L75" s="52"/>
      <c r="M75" s="244"/>
      <c r="N75" s="245"/>
      <c r="O75" s="246"/>
      <c r="P75" s="247"/>
      <c r="Q75" s="248"/>
    </row>
    <row r="76" spans="1:17" ht="19.5" customHeight="1" x14ac:dyDescent="0.25">
      <c r="A76" s="237"/>
      <c r="B76" s="238"/>
      <c r="C76" s="239"/>
      <c r="D76" s="54"/>
      <c r="E76" s="20"/>
      <c r="F76" s="240"/>
      <c r="G76" s="241"/>
      <c r="H76" s="242"/>
      <c r="I76" s="243"/>
      <c r="J76" s="239"/>
      <c r="K76" s="241"/>
      <c r="L76" s="52"/>
      <c r="M76" s="244"/>
      <c r="N76" s="245"/>
      <c r="O76" s="246"/>
      <c r="P76" s="247"/>
      <c r="Q76" s="248"/>
    </row>
    <row r="77" spans="1:17" ht="19.5" customHeight="1" x14ac:dyDescent="0.25">
      <c r="A77" s="237"/>
      <c r="B77" s="238"/>
      <c r="C77" s="239"/>
      <c r="D77" s="54"/>
      <c r="E77" s="20"/>
      <c r="F77" s="240"/>
      <c r="G77" s="241"/>
      <c r="H77" s="242"/>
      <c r="I77" s="243"/>
      <c r="J77" s="239"/>
      <c r="K77" s="241"/>
      <c r="L77" s="52"/>
      <c r="M77" s="244"/>
      <c r="N77" s="245"/>
      <c r="O77" s="246"/>
      <c r="P77" s="247"/>
      <c r="Q77" s="248"/>
    </row>
    <row r="78" spans="1:17" ht="19.5" customHeight="1" x14ac:dyDescent="0.25">
      <c r="A78" s="237"/>
      <c r="B78" s="238"/>
      <c r="C78" s="239"/>
      <c r="D78" s="54"/>
      <c r="E78" s="20"/>
      <c r="F78" s="240"/>
      <c r="G78" s="241"/>
      <c r="H78" s="242"/>
      <c r="I78" s="243"/>
      <c r="J78" s="239"/>
      <c r="K78" s="241"/>
      <c r="L78" s="52"/>
      <c r="M78" s="244"/>
      <c r="N78" s="245"/>
      <c r="O78" s="246"/>
      <c r="P78" s="247"/>
      <c r="Q78" s="248"/>
    </row>
    <row r="79" spans="1:17" ht="19.5" customHeight="1" x14ac:dyDescent="0.25">
      <c r="A79" s="237"/>
      <c r="B79" s="238"/>
      <c r="C79" s="239"/>
      <c r="D79" s="54"/>
      <c r="E79" s="20"/>
      <c r="F79" s="240"/>
      <c r="G79" s="241"/>
      <c r="H79" s="242"/>
      <c r="I79" s="243"/>
      <c r="J79" s="239"/>
      <c r="K79" s="241"/>
      <c r="L79" s="52"/>
      <c r="M79" s="244"/>
      <c r="N79" s="245"/>
      <c r="O79" s="246"/>
      <c r="P79" s="247"/>
      <c r="Q79" s="248"/>
    </row>
    <row r="80" spans="1:17" ht="19.5" customHeight="1" x14ac:dyDescent="0.25">
      <c r="A80" s="237"/>
      <c r="B80" s="238"/>
      <c r="C80" s="239"/>
      <c r="D80" s="54"/>
      <c r="E80" s="19"/>
      <c r="F80" s="240"/>
      <c r="G80" s="241"/>
      <c r="H80" s="242"/>
      <c r="I80" s="243"/>
      <c r="J80" s="239"/>
      <c r="K80" s="241"/>
      <c r="L80" s="52"/>
      <c r="M80" s="244"/>
      <c r="N80" s="245"/>
      <c r="O80" s="246"/>
      <c r="P80" s="247"/>
      <c r="Q80" s="248"/>
    </row>
    <row r="81" spans="1:17" ht="19.5" customHeight="1" x14ac:dyDescent="0.25">
      <c r="A81" s="237"/>
      <c r="B81" s="238"/>
      <c r="C81" s="239"/>
      <c r="D81" s="54"/>
      <c r="E81" s="20"/>
      <c r="F81" s="240"/>
      <c r="G81" s="241"/>
      <c r="H81" s="242"/>
      <c r="I81" s="243"/>
      <c r="J81" s="239"/>
      <c r="K81" s="241"/>
      <c r="L81" s="52"/>
      <c r="M81" s="244"/>
      <c r="N81" s="245"/>
      <c r="O81" s="246"/>
      <c r="P81" s="247"/>
      <c r="Q81" s="248"/>
    </row>
    <row r="82" spans="1:17" ht="19.5" customHeight="1" x14ac:dyDescent="0.25">
      <c r="A82" s="237"/>
      <c r="B82" s="238"/>
      <c r="C82" s="237"/>
      <c r="D82" s="54"/>
      <c r="E82" s="20"/>
      <c r="F82" s="240"/>
      <c r="G82" s="241"/>
      <c r="H82" s="242"/>
      <c r="I82" s="243"/>
      <c r="J82" s="239"/>
      <c r="K82" s="241"/>
      <c r="L82" s="52"/>
      <c r="M82" s="244"/>
      <c r="N82" s="245"/>
      <c r="O82" s="246"/>
      <c r="P82" s="247"/>
      <c r="Q82" s="248"/>
    </row>
    <row r="83" spans="1:17" ht="19.5" customHeight="1" x14ac:dyDescent="0.25">
      <c r="A83" s="237"/>
      <c r="B83" s="238"/>
      <c r="C83" s="239"/>
      <c r="D83" s="54"/>
      <c r="E83" s="19"/>
      <c r="F83" s="240"/>
      <c r="G83" s="241"/>
      <c r="H83" s="242"/>
      <c r="I83" s="243"/>
      <c r="J83" s="239"/>
      <c r="K83" s="241"/>
      <c r="L83" s="52"/>
      <c r="M83" s="244"/>
      <c r="N83" s="245"/>
      <c r="O83" s="246"/>
      <c r="P83" s="247"/>
      <c r="Q83" s="248"/>
    </row>
    <row r="84" spans="1:17" ht="19.5" customHeight="1" x14ac:dyDescent="0.25">
      <c r="A84" s="237"/>
      <c r="B84" s="238"/>
      <c r="C84" s="239"/>
      <c r="D84" s="54"/>
      <c r="E84" s="20"/>
      <c r="F84" s="240"/>
      <c r="G84" s="241"/>
      <c r="H84" s="242"/>
      <c r="I84" s="243"/>
      <c r="J84" s="239"/>
      <c r="K84" s="241"/>
      <c r="L84" s="52"/>
      <c r="M84" s="244"/>
      <c r="N84" s="245"/>
      <c r="O84" s="246"/>
      <c r="P84" s="247"/>
      <c r="Q84" s="248"/>
    </row>
    <row r="85" spans="1:17" ht="19.5" customHeight="1" x14ac:dyDescent="0.25">
      <c r="A85" s="149"/>
      <c r="B85" s="150"/>
      <c r="C85" s="151"/>
      <c r="D85" s="152"/>
      <c r="E85" s="153"/>
      <c r="F85" s="154"/>
      <c r="G85" s="155"/>
      <c r="H85" s="156"/>
      <c r="I85" s="157"/>
      <c r="J85" s="151"/>
      <c r="K85" s="155"/>
      <c r="L85" s="158"/>
      <c r="M85" s="159"/>
      <c r="N85" s="160"/>
      <c r="O85" s="161"/>
      <c r="P85" s="162"/>
      <c r="Q85" s="163"/>
    </row>
    <row r="86" spans="1:17" ht="19.5" customHeight="1" x14ac:dyDescent="0.25">
      <c r="A86" s="237"/>
      <c r="B86" s="238"/>
      <c r="C86" s="239"/>
      <c r="D86" s="54"/>
      <c r="E86" s="20"/>
      <c r="F86" s="240"/>
      <c r="G86" s="241"/>
      <c r="H86" s="242"/>
      <c r="I86" s="243"/>
      <c r="J86" s="239"/>
      <c r="K86" s="241"/>
      <c r="L86" s="52"/>
      <c r="M86" s="244"/>
      <c r="N86" s="245"/>
      <c r="O86" s="246"/>
      <c r="P86" s="247"/>
      <c r="Q86" s="248"/>
    </row>
    <row r="87" spans="1:17" ht="19.5" customHeight="1" x14ac:dyDescent="0.25">
      <c r="A87" s="237"/>
      <c r="B87" s="238"/>
      <c r="C87" s="239"/>
      <c r="D87" s="54"/>
      <c r="E87" s="20"/>
      <c r="F87" s="240"/>
      <c r="G87" s="241"/>
      <c r="H87" s="242"/>
      <c r="I87" s="243"/>
      <c r="J87" s="239"/>
      <c r="K87" s="241"/>
      <c r="L87" s="52"/>
      <c r="M87" s="244"/>
      <c r="N87" s="245"/>
      <c r="O87" s="246"/>
      <c r="P87" s="247"/>
      <c r="Q87" s="248"/>
    </row>
    <row r="88" spans="1:17" ht="19.5" customHeight="1" x14ac:dyDescent="0.25">
      <c r="A88" s="237"/>
      <c r="B88" s="238"/>
      <c r="C88" s="239"/>
      <c r="D88" s="54"/>
      <c r="E88" s="20"/>
      <c r="F88" s="240"/>
      <c r="G88" s="241"/>
      <c r="H88" s="242"/>
      <c r="I88" s="243"/>
      <c r="J88" s="239"/>
      <c r="K88" s="241"/>
      <c r="L88" s="52"/>
      <c r="M88" s="244"/>
      <c r="N88" s="245"/>
      <c r="O88" s="246"/>
      <c r="P88" s="247"/>
      <c r="Q88" s="248"/>
    </row>
    <row r="89" spans="1:17" ht="19.5" customHeight="1" x14ac:dyDescent="0.25">
      <c r="A89" s="237"/>
      <c r="B89" s="238"/>
      <c r="C89" s="239"/>
      <c r="D89" s="54"/>
      <c r="E89" s="20"/>
      <c r="F89" s="240"/>
      <c r="G89" s="241"/>
      <c r="H89" s="242"/>
      <c r="I89" s="243"/>
      <c r="J89" s="239"/>
      <c r="K89" s="241"/>
      <c r="L89" s="52"/>
      <c r="M89" s="244"/>
      <c r="N89" s="245"/>
      <c r="O89" s="246"/>
      <c r="P89" s="247"/>
      <c r="Q89" s="248"/>
    </row>
    <row r="90" spans="1:17" ht="19.5" customHeight="1" x14ac:dyDescent="0.25">
      <c r="A90" s="237"/>
      <c r="B90" s="238"/>
      <c r="C90" s="239"/>
      <c r="D90" s="54"/>
      <c r="E90" s="20"/>
      <c r="F90" s="240"/>
      <c r="G90" s="241"/>
      <c r="H90" s="242"/>
      <c r="I90" s="243"/>
      <c r="J90" s="239"/>
      <c r="K90" s="241"/>
      <c r="L90" s="52"/>
      <c r="M90" s="244"/>
      <c r="N90" s="245"/>
      <c r="O90" s="246"/>
      <c r="P90" s="247"/>
      <c r="Q90" s="248"/>
    </row>
    <row r="91" spans="1:17" ht="19.5" customHeight="1" x14ac:dyDescent="0.25">
      <c r="A91" s="237"/>
      <c r="B91" s="238"/>
      <c r="C91" s="239"/>
      <c r="D91" s="54"/>
      <c r="E91" s="20"/>
      <c r="F91" s="240"/>
      <c r="G91" s="241"/>
      <c r="H91" s="242"/>
      <c r="I91" s="243"/>
      <c r="J91" s="239"/>
      <c r="K91" s="241"/>
      <c r="L91" s="52"/>
      <c r="M91" s="244"/>
      <c r="N91" s="245"/>
      <c r="O91" s="246"/>
      <c r="P91" s="247"/>
      <c r="Q91" s="248"/>
    </row>
    <row r="92" spans="1:17" ht="19.5" customHeight="1" x14ac:dyDescent="0.25">
      <c r="A92" s="237"/>
      <c r="B92" s="238"/>
      <c r="C92" s="239"/>
      <c r="D92" s="54"/>
      <c r="E92" s="20"/>
      <c r="F92" s="240"/>
      <c r="G92" s="241"/>
      <c r="H92" s="242"/>
      <c r="I92" s="243"/>
      <c r="J92" s="239"/>
      <c r="K92" s="241"/>
      <c r="L92" s="52"/>
      <c r="M92" s="244"/>
      <c r="N92" s="245"/>
      <c r="O92" s="246"/>
      <c r="P92" s="247"/>
      <c r="Q92" s="248"/>
    </row>
    <row r="93" spans="1:17" ht="19.5" customHeight="1" x14ac:dyDescent="0.25">
      <c r="A93" s="237"/>
      <c r="B93" s="238"/>
      <c r="C93" s="239"/>
      <c r="D93" s="54"/>
      <c r="E93" s="20"/>
      <c r="F93" s="240"/>
      <c r="G93" s="241"/>
      <c r="H93" s="242"/>
      <c r="I93" s="243"/>
      <c r="J93" s="239"/>
      <c r="K93" s="241"/>
      <c r="L93" s="52"/>
      <c r="M93" s="244"/>
      <c r="N93" s="245"/>
      <c r="O93" s="246"/>
      <c r="P93" s="247"/>
      <c r="Q93" s="248"/>
    </row>
    <row r="94" spans="1:17" ht="19.5" customHeight="1" x14ac:dyDescent="0.25">
      <c r="A94" s="237"/>
      <c r="B94" s="238"/>
      <c r="C94" s="239"/>
      <c r="D94" s="54"/>
      <c r="E94" s="20"/>
      <c r="F94" s="240"/>
      <c r="G94" s="241"/>
      <c r="H94" s="242"/>
      <c r="I94" s="243"/>
      <c r="J94" s="239"/>
      <c r="K94" s="241"/>
      <c r="L94" s="52"/>
      <c r="M94" s="244"/>
      <c r="N94" s="245"/>
      <c r="O94" s="246"/>
      <c r="P94" s="247"/>
      <c r="Q94" s="248"/>
    </row>
    <row r="95" spans="1:17" ht="19.5" customHeight="1" x14ac:dyDescent="0.25">
      <c r="A95" s="237"/>
      <c r="B95" s="238"/>
      <c r="C95" s="239"/>
      <c r="D95" s="54"/>
      <c r="E95" s="20"/>
      <c r="F95" s="240"/>
      <c r="G95" s="241"/>
      <c r="H95" s="242"/>
      <c r="I95" s="243"/>
      <c r="J95" s="239"/>
      <c r="K95" s="241"/>
      <c r="L95" s="52"/>
      <c r="M95" s="244"/>
      <c r="N95" s="245"/>
      <c r="O95" s="246"/>
      <c r="P95" s="247"/>
      <c r="Q95" s="248"/>
    </row>
    <row r="96" spans="1:17" ht="19.5" customHeight="1" x14ac:dyDescent="0.25">
      <c r="A96" s="237"/>
      <c r="B96" s="238"/>
      <c r="C96" s="239"/>
      <c r="D96" s="54"/>
      <c r="E96" s="19"/>
      <c r="F96" s="240"/>
      <c r="G96" s="241"/>
      <c r="H96" s="242"/>
      <c r="I96" s="243"/>
      <c r="J96" s="239"/>
      <c r="K96" s="241"/>
      <c r="L96" s="52"/>
      <c r="M96" s="244"/>
      <c r="N96" s="245"/>
      <c r="O96" s="246"/>
      <c r="P96" s="247"/>
      <c r="Q96" s="248"/>
    </row>
    <row r="97" spans="1:17" ht="19.5" customHeight="1" x14ac:dyDescent="0.25">
      <c r="A97" s="237"/>
      <c r="B97" s="238"/>
      <c r="C97" s="239"/>
      <c r="D97" s="54"/>
      <c r="E97" s="20"/>
      <c r="F97" s="240"/>
      <c r="G97" s="241"/>
      <c r="H97" s="242"/>
      <c r="I97" s="243"/>
      <c r="J97" s="239"/>
      <c r="K97" s="241"/>
      <c r="L97" s="52"/>
      <c r="M97" s="244"/>
      <c r="N97" s="245"/>
      <c r="O97" s="246"/>
      <c r="P97" s="247"/>
      <c r="Q97" s="248"/>
    </row>
    <row r="98" spans="1:17" ht="19.5" customHeight="1" x14ac:dyDescent="0.25">
      <c r="A98" s="149"/>
      <c r="B98" s="150"/>
      <c r="C98" s="151"/>
      <c r="D98" s="152"/>
      <c r="E98" s="153"/>
      <c r="F98" s="154"/>
      <c r="G98" s="155"/>
      <c r="H98" s="156"/>
      <c r="I98" s="157"/>
      <c r="J98" s="151"/>
      <c r="K98" s="155"/>
      <c r="L98" s="158"/>
      <c r="M98" s="159"/>
      <c r="N98" s="160"/>
      <c r="O98" s="161"/>
      <c r="P98" s="162"/>
      <c r="Q98" s="163"/>
    </row>
    <row r="99" spans="1:17" ht="19.5" customHeight="1" x14ac:dyDescent="0.25">
      <c r="A99" s="237"/>
      <c r="B99" s="238"/>
      <c r="C99" s="239"/>
      <c r="D99" s="54"/>
      <c r="E99" s="19"/>
      <c r="F99" s="240"/>
      <c r="G99" s="241"/>
      <c r="H99" s="242"/>
      <c r="I99" s="243"/>
      <c r="J99" s="239"/>
      <c r="K99" s="241"/>
      <c r="L99" s="52"/>
      <c r="M99" s="244"/>
      <c r="N99" s="245"/>
      <c r="O99" s="246"/>
      <c r="P99" s="247"/>
      <c r="Q99" s="248"/>
    </row>
    <row r="100" spans="1:17" ht="19.5" customHeight="1" x14ac:dyDescent="0.25">
      <c r="A100" s="237"/>
      <c r="B100" s="238"/>
      <c r="C100" s="239"/>
      <c r="D100" s="54"/>
      <c r="E100" s="20"/>
      <c r="F100" s="240"/>
      <c r="G100" s="241"/>
      <c r="H100" s="242"/>
      <c r="I100" s="243"/>
      <c r="J100" s="239"/>
      <c r="K100" s="241"/>
      <c r="L100" s="52"/>
      <c r="M100" s="244"/>
      <c r="N100" s="245"/>
      <c r="O100" s="246"/>
      <c r="P100" s="247"/>
      <c r="Q100" s="248"/>
    </row>
    <row r="101" spans="1:17" ht="19.5" customHeight="1" x14ac:dyDescent="0.25">
      <c r="A101" s="237"/>
      <c r="B101" s="238"/>
      <c r="C101" s="239"/>
      <c r="D101" s="54"/>
      <c r="E101" s="20"/>
      <c r="F101" s="240"/>
      <c r="G101" s="241"/>
      <c r="H101" s="242"/>
      <c r="I101" s="243"/>
      <c r="J101" s="239"/>
      <c r="K101" s="241"/>
      <c r="L101" s="52"/>
      <c r="M101" s="244"/>
      <c r="N101" s="245"/>
      <c r="O101" s="246"/>
      <c r="P101" s="247"/>
      <c r="Q101" s="248"/>
    </row>
    <row r="102" spans="1:17" ht="19.5" customHeight="1" x14ac:dyDescent="0.25">
      <c r="A102" s="237"/>
      <c r="B102" s="238"/>
      <c r="C102" s="239"/>
      <c r="D102" s="54"/>
      <c r="E102" s="20"/>
      <c r="F102" s="240"/>
      <c r="G102" s="241"/>
      <c r="H102" s="242"/>
      <c r="I102" s="243"/>
      <c r="J102" s="239"/>
      <c r="K102" s="241"/>
      <c r="L102" s="52"/>
      <c r="M102" s="244"/>
      <c r="N102" s="245"/>
      <c r="O102" s="246"/>
      <c r="P102" s="247"/>
      <c r="Q102" s="248"/>
    </row>
    <row r="103" spans="1:17" ht="19.5" customHeight="1" x14ac:dyDescent="0.25">
      <c r="A103" s="237"/>
      <c r="B103" s="238"/>
      <c r="C103" s="239"/>
      <c r="D103" s="54"/>
      <c r="E103" s="20"/>
      <c r="F103" s="240"/>
      <c r="G103" s="241"/>
      <c r="H103" s="242"/>
      <c r="I103" s="243"/>
      <c r="J103" s="239"/>
      <c r="K103" s="241"/>
      <c r="L103" s="52"/>
      <c r="M103" s="244"/>
      <c r="N103" s="245"/>
      <c r="O103" s="246"/>
      <c r="P103" s="247"/>
      <c r="Q103" s="248"/>
    </row>
    <row r="104" spans="1:17" ht="19.5" customHeight="1" x14ac:dyDescent="0.25">
      <c r="A104" s="237"/>
      <c r="B104" s="238"/>
      <c r="C104" s="239"/>
      <c r="D104" s="54"/>
      <c r="E104" s="20"/>
      <c r="F104" s="240"/>
      <c r="G104" s="241"/>
      <c r="H104" s="242"/>
      <c r="I104" s="243"/>
      <c r="J104" s="239"/>
      <c r="K104" s="241"/>
      <c r="L104" s="52"/>
      <c r="M104" s="244"/>
      <c r="N104" s="245"/>
      <c r="O104" s="246"/>
      <c r="P104" s="247"/>
      <c r="Q104" s="248"/>
    </row>
    <row r="105" spans="1:17" ht="19.5" customHeight="1" x14ac:dyDescent="0.25">
      <c r="A105" s="237"/>
      <c r="B105" s="238"/>
      <c r="C105" s="239"/>
      <c r="D105" s="54"/>
      <c r="E105" s="20"/>
      <c r="F105" s="240"/>
      <c r="G105" s="241"/>
      <c r="H105" s="242"/>
      <c r="I105" s="243"/>
      <c r="J105" s="239"/>
      <c r="K105" s="241"/>
      <c r="L105" s="52"/>
      <c r="M105" s="244"/>
      <c r="N105" s="245"/>
      <c r="O105" s="246"/>
      <c r="P105" s="247"/>
      <c r="Q105" s="248"/>
    </row>
    <row r="106" spans="1:17" ht="19.5" customHeight="1" x14ac:dyDescent="0.25">
      <c r="A106" s="237"/>
      <c r="B106" s="238"/>
      <c r="C106" s="239"/>
      <c r="D106" s="54"/>
      <c r="E106" s="20"/>
      <c r="F106" s="240"/>
      <c r="G106" s="241"/>
      <c r="H106" s="242"/>
      <c r="I106" s="243"/>
      <c r="J106" s="239"/>
      <c r="K106" s="241"/>
      <c r="L106" s="52"/>
      <c r="M106" s="244"/>
      <c r="N106" s="245"/>
      <c r="O106" s="246"/>
      <c r="P106" s="247"/>
      <c r="Q106" s="248"/>
    </row>
    <row r="107" spans="1:17" ht="19.5" customHeight="1" x14ac:dyDescent="0.25">
      <c r="A107" s="237"/>
      <c r="B107" s="238"/>
      <c r="C107" s="239"/>
      <c r="D107" s="54"/>
      <c r="E107" s="20"/>
      <c r="F107" s="240"/>
      <c r="G107" s="241"/>
      <c r="H107" s="242"/>
      <c r="I107" s="243"/>
      <c r="J107" s="239"/>
      <c r="K107" s="241"/>
      <c r="L107" s="52"/>
      <c r="M107" s="244"/>
      <c r="N107" s="245"/>
      <c r="O107" s="246"/>
      <c r="P107" s="247"/>
      <c r="Q107" s="248"/>
    </row>
    <row r="108" spans="1:17" ht="19.5" customHeight="1" x14ac:dyDescent="0.25">
      <c r="A108" s="237"/>
      <c r="B108" s="238"/>
      <c r="C108" s="239"/>
      <c r="D108" s="54"/>
      <c r="E108" s="19"/>
      <c r="F108" s="240"/>
      <c r="G108" s="241"/>
      <c r="H108" s="242"/>
      <c r="I108" s="243"/>
      <c r="J108" s="239"/>
      <c r="K108" s="241"/>
      <c r="L108" s="52"/>
      <c r="M108" s="244"/>
      <c r="N108" s="245"/>
      <c r="O108" s="246"/>
      <c r="P108" s="247"/>
      <c r="Q108" s="248"/>
    </row>
    <row r="109" spans="1:17" ht="19.5" customHeight="1" x14ac:dyDescent="0.25">
      <c r="A109" s="237"/>
      <c r="B109" s="238"/>
      <c r="C109" s="239"/>
      <c r="D109" s="54"/>
      <c r="E109" s="20"/>
      <c r="F109" s="240"/>
      <c r="G109" s="241"/>
      <c r="H109" s="242"/>
      <c r="I109" s="243"/>
      <c r="J109" s="239"/>
      <c r="K109" s="241"/>
      <c r="L109" s="52"/>
      <c r="M109" s="244"/>
      <c r="N109" s="245"/>
      <c r="O109" s="246"/>
      <c r="P109" s="247"/>
      <c r="Q109" s="248"/>
    </row>
    <row r="110" spans="1:17" ht="19.5" customHeight="1" x14ac:dyDescent="0.25">
      <c r="A110" s="237"/>
      <c r="B110" s="238"/>
      <c r="C110" s="239"/>
      <c r="D110" s="54"/>
      <c r="E110" s="20"/>
      <c r="F110" s="240"/>
      <c r="G110" s="241"/>
      <c r="H110" s="242"/>
      <c r="I110" s="243"/>
      <c r="J110" s="239"/>
      <c r="K110" s="241"/>
      <c r="L110" s="52"/>
      <c r="M110" s="244"/>
      <c r="N110" s="245"/>
      <c r="O110" s="246"/>
      <c r="P110" s="247"/>
      <c r="Q110" s="248"/>
    </row>
    <row r="111" spans="1:17" ht="19.5" customHeight="1" x14ac:dyDescent="0.25">
      <c r="A111" s="237"/>
      <c r="B111" s="238"/>
      <c r="C111" s="239"/>
      <c r="D111" s="54"/>
      <c r="E111" s="20"/>
      <c r="F111" s="240"/>
      <c r="G111" s="241"/>
      <c r="H111" s="242"/>
      <c r="I111" s="243"/>
      <c r="J111" s="239"/>
      <c r="K111" s="241"/>
      <c r="L111" s="52"/>
      <c r="M111" s="244"/>
      <c r="N111" s="245"/>
      <c r="O111" s="246"/>
      <c r="P111" s="247"/>
      <c r="Q111" s="248"/>
    </row>
    <row r="112" spans="1:17" ht="19.5" customHeight="1" x14ac:dyDescent="0.25">
      <c r="A112" s="237"/>
      <c r="B112" s="238"/>
      <c r="C112" s="239"/>
      <c r="D112" s="54"/>
      <c r="E112" s="20"/>
      <c r="F112" s="240"/>
      <c r="G112" s="241"/>
      <c r="H112" s="242"/>
      <c r="I112" s="243"/>
      <c r="J112" s="239"/>
      <c r="K112" s="241"/>
      <c r="L112" s="52"/>
      <c r="M112" s="244"/>
      <c r="N112" s="245"/>
      <c r="O112" s="246"/>
      <c r="P112" s="247"/>
      <c r="Q112" s="248"/>
    </row>
    <row r="113" spans="1:17" ht="19.5" customHeight="1" x14ac:dyDescent="0.25">
      <c r="A113" s="237"/>
      <c r="B113" s="238"/>
      <c r="C113" s="239"/>
      <c r="D113" s="54"/>
      <c r="E113" s="20"/>
      <c r="F113" s="240"/>
      <c r="G113" s="241"/>
      <c r="H113" s="242"/>
      <c r="I113" s="243"/>
      <c r="J113" s="239"/>
      <c r="K113" s="241"/>
      <c r="L113" s="52"/>
      <c r="M113" s="244"/>
      <c r="N113" s="245"/>
      <c r="O113" s="246"/>
      <c r="P113" s="247"/>
      <c r="Q113" s="248"/>
    </row>
    <row r="114" spans="1:17" ht="19.5" customHeight="1" x14ac:dyDescent="0.25">
      <c r="A114" s="237"/>
      <c r="B114" s="238"/>
      <c r="C114" s="239"/>
      <c r="D114" s="54"/>
      <c r="E114" s="19"/>
      <c r="F114" s="240"/>
      <c r="G114" s="241"/>
      <c r="H114" s="242"/>
      <c r="I114" s="243"/>
      <c r="J114" s="239"/>
      <c r="K114" s="241"/>
      <c r="L114" s="52"/>
      <c r="M114" s="244"/>
      <c r="N114" s="245"/>
      <c r="O114" s="246"/>
      <c r="P114" s="247"/>
      <c r="Q114" s="248"/>
    </row>
    <row r="115" spans="1:17" ht="19.5" customHeight="1" x14ac:dyDescent="0.25">
      <c r="A115" s="237"/>
      <c r="B115" s="238"/>
      <c r="C115" s="239"/>
      <c r="D115" s="54"/>
      <c r="E115" s="19"/>
      <c r="F115" s="240"/>
      <c r="G115" s="241"/>
      <c r="H115" s="242"/>
      <c r="I115" s="243"/>
      <c r="J115" s="239"/>
      <c r="K115" s="241"/>
      <c r="L115" s="52"/>
      <c r="M115" s="244"/>
      <c r="N115" s="245"/>
      <c r="O115" s="246"/>
      <c r="P115" s="247"/>
      <c r="Q115" s="248"/>
    </row>
    <row r="116" spans="1:17" ht="19.5" customHeight="1" x14ac:dyDescent="0.25">
      <c r="A116" s="237"/>
      <c r="B116" s="238"/>
      <c r="C116" s="239"/>
      <c r="D116" s="54"/>
      <c r="E116" s="20"/>
      <c r="F116" s="240"/>
      <c r="G116" s="241"/>
      <c r="H116" s="242"/>
      <c r="I116" s="243"/>
      <c r="J116" s="239"/>
      <c r="K116" s="241"/>
      <c r="L116" s="52"/>
      <c r="M116" s="244"/>
      <c r="N116" s="245"/>
      <c r="O116" s="246"/>
      <c r="P116" s="247"/>
      <c r="Q116" s="248"/>
    </row>
    <row r="117" spans="1:17" ht="19.5" customHeight="1" x14ac:dyDescent="0.25">
      <c r="A117" s="237"/>
      <c r="B117" s="238"/>
      <c r="C117" s="239"/>
      <c r="D117" s="54"/>
      <c r="E117" s="20"/>
      <c r="F117" s="240"/>
      <c r="G117" s="241"/>
      <c r="H117" s="242"/>
      <c r="I117" s="243"/>
      <c r="J117" s="239"/>
      <c r="K117" s="241"/>
      <c r="L117" s="52"/>
      <c r="M117" s="244"/>
      <c r="N117" s="245"/>
      <c r="O117" s="246"/>
      <c r="P117" s="247"/>
      <c r="Q117" s="248"/>
    </row>
    <row r="118" spans="1:17" ht="19.5" customHeight="1" x14ac:dyDescent="0.25">
      <c r="A118" s="237"/>
      <c r="B118" s="238"/>
      <c r="C118" s="239"/>
      <c r="D118" s="54"/>
      <c r="E118" s="20"/>
      <c r="F118" s="240"/>
      <c r="G118" s="241"/>
      <c r="H118" s="242"/>
      <c r="I118" s="243"/>
      <c r="J118" s="239"/>
      <c r="K118" s="241"/>
      <c r="L118" s="52"/>
      <c r="M118" s="244"/>
      <c r="N118" s="245"/>
      <c r="O118" s="246"/>
      <c r="P118" s="247"/>
      <c r="Q118" s="248"/>
    </row>
    <row r="119" spans="1:17" ht="19.5" customHeight="1" x14ac:dyDescent="0.25">
      <c r="A119" s="237"/>
      <c r="B119" s="238"/>
      <c r="C119" s="239"/>
      <c r="D119" s="54"/>
      <c r="E119" s="20"/>
      <c r="F119" s="240"/>
      <c r="G119" s="241"/>
      <c r="H119" s="242"/>
      <c r="I119" s="243"/>
      <c r="J119" s="239"/>
      <c r="K119" s="241"/>
      <c r="L119" s="52"/>
      <c r="M119" s="244"/>
      <c r="N119" s="245"/>
      <c r="O119" s="246"/>
      <c r="P119" s="247"/>
      <c r="Q119" s="248"/>
    </row>
    <row r="120" spans="1:17" ht="19.5" customHeight="1" x14ac:dyDescent="0.25">
      <c r="A120" s="237"/>
      <c r="B120" s="238"/>
      <c r="C120" s="239"/>
      <c r="D120" s="54"/>
      <c r="E120" s="20"/>
      <c r="F120" s="240"/>
      <c r="G120" s="241"/>
      <c r="H120" s="242"/>
      <c r="I120" s="243"/>
      <c r="J120" s="239"/>
      <c r="K120" s="241"/>
      <c r="L120" s="52"/>
      <c r="M120" s="244"/>
      <c r="N120" s="245"/>
      <c r="O120" s="246"/>
      <c r="P120" s="247"/>
      <c r="Q120" s="248"/>
    </row>
    <row r="121" spans="1:17" ht="19.5" customHeight="1" x14ac:dyDescent="0.25">
      <c r="A121" s="237"/>
      <c r="B121" s="238"/>
      <c r="C121" s="239"/>
      <c r="D121" s="54"/>
      <c r="E121" s="20"/>
      <c r="F121" s="240"/>
      <c r="G121" s="241"/>
      <c r="H121" s="242"/>
      <c r="I121" s="243"/>
      <c r="J121" s="239"/>
      <c r="K121" s="241"/>
      <c r="L121" s="52"/>
      <c r="M121" s="244"/>
      <c r="N121" s="245"/>
      <c r="O121" s="246"/>
      <c r="P121" s="247"/>
      <c r="Q121" s="248"/>
    </row>
    <row r="122" spans="1:17" ht="19.5" customHeight="1" x14ac:dyDescent="0.25">
      <c r="A122" s="237"/>
      <c r="B122" s="238"/>
      <c r="C122" s="239"/>
      <c r="D122" s="54"/>
      <c r="E122" s="20"/>
      <c r="F122" s="240"/>
      <c r="G122" s="241"/>
      <c r="H122" s="242"/>
      <c r="I122" s="243"/>
      <c r="J122" s="239"/>
      <c r="K122" s="241"/>
      <c r="L122" s="52"/>
      <c r="M122" s="244"/>
      <c r="N122" s="245"/>
      <c r="O122" s="246"/>
      <c r="P122" s="247"/>
      <c r="Q122" s="248"/>
    </row>
    <row r="123" spans="1:17" ht="19.5" customHeight="1" x14ac:dyDescent="0.25">
      <c r="A123" s="237"/>
      <c r="B123" s="238"/>
      <c r="C123" s="239"/>
      <c r="D123" s="54"/>
      <c r="E123" s="20"/>
      <c r="F123" s="240"/>
      <c r="G123" s="241"/>
      <c r="H123" s="242"/>
      <c r="I123" s="243"/>
      <c r="J123" s="239"/>
      <c r="K123" s="241"/>
      <c r="L123" s="52"/>
      <c r="M123" s="244"/>
      <c r="N123" s="245"/>
      <c r="O123" s="246"/>
      <c r="P123" s="247"/>
      <c r="Q123" s="248"/>
    </row>
    <row r="124" spans="1:17" ht="19.5" customHeight="1" x14ac:dyDescent="0.25">
      <c r="A124" s="237"/>
      <c r="B124" s="238"/>
      <c r="C124" s="239"/>
      <c r="D124" s="54"/>
      <c r="E124" s="20"/>
      <c r="F124" s="240"/>
      <c r="G124" s="241"/>
      <c r="H124" s="242"/>
      <c r="I124" s="243"/>
      <c r="J124" s="239"/>
      <c r="K124" s="241"/>
      <c r="L124" s="52"/>
      <c r="M124" s="244"/>
      <c r="N124" s="245"/>
      <c r="O124" s="246"/>
      <c r="P124" s="247"/>
      <c r="Q124" s="248"/>
    </row>
    <row r="125" spans="1:17" ht="19.5" customHeight="1" x14ac:dyDescent="0.25">
      <c r="A125" s="237"/>
      <c r="B125" s="238"/>
      <c r="C125" s="239"/>
      <c r="D125" s="54"/>
      <c r="E125" s="19"/>
      <c r="F125" s="240"/>
      <c r="G125" s="241"/>
      <c r="H125" s="242"/>
      <c r="I125" s="243"/>
      <c r="J125" s="239"/>
      <c r="K125" s="241"/>
      <c r="L125" s="52"/>
      <c r="M125" s="244"/>
      <c r="N125" s="245"/>
      <c r="O125" s="246"/>
      <c r="P125" s="247"/>
      <c r="Q125" s="248"/>
    </row>
    <row r="126" spans="1:17" ht="19.5" customHeight="1" x14ac:dyDescent="0.25">
      <c r="A126" s="237"/>
      <c r="B126" s="238"/>
      <c r="C126" s="239"/>
      <c r="D126" s="54"/>
      <c r="E126" s="20"/>
      <c r="F126" s="240"/>
      <c r="G126" s="241"/>
      <c r="H126" s="242"/>
      <c r="I126" s="243"/>
      <c r="J126" s="239"/>
      <c r="K126" s="241"/>
      <c r="L126" s="52"/>
      <c r="M126" s="244"/>
      <c r="N126" s="245"/>
      <c r="O126" s="246"/>
      <c r="P126" s="247"/>
      <c r="Q126" s="248"/>
    </row>
    <row r="127" spans="1:17" ht="19.5" customHeight="1" x14ac:dyDescent="0.25">
      <c r="A127" s="237"/>
      <c r="B127" s="238"/>
      <c r="C127" s="239"/>
      <c r="D127" s="54"/>
      <c r="E127" s="20"/>
      <c r="F127" s="240"/>
      <c r="G127" s="241"/>
      <c r="H127" s="242"/>
      <c r="I127" s="243"/>
      <c r="J127" s="239"/>
      <c r="K127" s="241"/>
      <c r="L127" s="52"/>
      <c r="M127" s="244"/>
      <c r="N127" s="245"/>
      <c r="O127" s="246"/>
      <c r="P127" s="247"/>
      <c r="Q127" s="248"/>
    </row>
    <row r="128" spans="1:17" ht="19.5" customHeight="1" x14ac:dyDescent="0.25">
      <c r="A128" s="149"/>
      <c r="B128" s="150"/>
      <c r="C128" s="151"/>
      <c r="D128" s="152"/>
      <c r="E128" s="153"/>
      <c r="F128" s="154"/>
      <c r="G128" s="155"/>
      <c r="H128" s="156"/>
      <c r="I128" s="157"/>
      <c r="J128" s="151"/>
      <c r="K128" s="155"/>
      <c r="L128" s="158"/>
      <c r="M128" s="159"/>
      <c r="N128" s="160"/>
      <c r="O128" s="161"/>
      <c r="P128" s="162"/>
      <c r="Q128" s="163"/>
    </row>
    <row r="129" spans="1:17" ht="19.5" customHeight="1" x14ac:dyDescent="0.25">
      <c r="A129" s="237"/>
      <c r="B129" s="238"/>
      <c r="C129" s="239"/>
      <c r="D129" s="54"/>
      <c r="E129" s="19"/>
      <c r="F129" s="240"/>
      <c r="G129" s="241"/>
      <c r="H129" s="242"/>
      <c r="I129" s="243"/>
      <c r="J129" s="239"/>
      <c r="K129" s="241"/>
      <c r="L129" s="52"/>
      <c r="M129" s="244"/>
      <c r="N129" s="245"/>
      <c r="O129" s="246"/>
      <c r="P129" s="247"/>
      <c r="Q129" s="248"/>
    </row>
    <row r="130" spans="1:17" ht="19.5" customHeight="1" x14ac:dyDescent="0.25">
      <c r="A130" s="237"/>
      <c r="B130" s="238"/>
      <c r="C130" s="239"/>
      <c r="D130" s="54"/>
      <c r="E130" s="20"/>
      <c r="F130" s="240"/>
      <c r="G130" s="241"/>
      <c r="H130" s="242"/>
      <c r="I130" s="243"/>
      <c r="J130" s="239"/>
      <c r="K130" s="241"/>
      <c r="L130" s="52"/>
      <c r="M130" s="244"/>
      <c r="N130" s="245"/>
      <c r="O130" s="246"/>
      <c r="P130" s="247"/>
      <c r="Q130" s="248"/>
    </row>
    <row r="131" spans="1:17" ht="19.5" customHeight="1" x14ac:dyDescent="0.25">
      <c r="A131" s="149"/>
      <c r="B131" s="150"/>
      <c r="C131" s="151"/>
      <c r="D131" s="152"/>
      <c r="E131" s="153"/>
      <c r="F131" s="154"/>
      <c r="G131" s="155"/>
      <c r="H131" s="156"/>
      <c r="I131" s="157"/>
      <c r="J131" s="151"/>
      <c r="K131" s="155"/>
      <c r="L131" s="158"/>
      <c r="M131" s="159"/>
      <c r="N131" s="160"/>
      <c r="O131" s="161"/>
      <c r="P131" s="162"/>
      <c r="Q131" s="163"/>
    </row>
    <row r="132" spans="1:17" ht="19.5" customHeight="1" x14ac:dyDescent="0.25">
      <c r="A132" s="237"/>
      <c r="B132" s="238"/>
      <c r="C132" s="239"/>
      <c r="D132" s="54"/>
      <c r="E132" s="20"/>
      <c r="F132" s="240"/>
      <c r="G132" s="241"/>
      <c r="H132" s="242"/>
      <c r="I132" s="243"/>
      <c r="J132" s="239"/>
      <c r="K132" s="241"/>
      <c r="L132" s="52"/>
      <c r="M132" s="244"/>
      <c r="N132" s="245"/>
      <c r="O132" s="246"/>
      <c r="P132" s="247"/>
      <c r="Q132" s="248"/>
    </row>
    <row r="133" spans="1:17" ht="19.5" customHeight="1" x14ac:dyDescent="0.25">
      <c r="A133" s="237"/>
      <c r="B133" s="238"/>
      <c r="C133" s="239"/>
      <c r="D133" s="54"/>
      <c r="E133" s="20"/>
      <c r="F133" s="240"/>
      <c r="G133" s="241"/>
      <c r="H133" s="242"/>
      <c r="I133" s="243"/>
      <c r="J133" s="239"/>
      <c r="K133" s="241"/>
      <c r="L133" s="52"/>
      <c r="M133" s="244"/>
      <c r="N133" s="245"/>
      <c r="O133" s="246"/>
      <c r="P133" s="247"/>
      <c r="Q133" s="248"/>
    </row>
    <row r="134" spans="1:17" ht="19.5" customHeight="1" x14ac:dyDescent="0.25">
      <c r="A134" s="237"/>
      <c r="B134" s="238"/>
      <c r="C134" s="239"/>
      <c r="D134" s="54"/>
      <c r="E134" s="20"/>
      <c r="F134" s="240"/>
      <c r="G134" s="241"/>
      <c r="H134" s="242"/>
      <c r="I134" s="243"/>
      <c r="J134" s="239"/>
      <c r="K134" s="241"/>
      <c r="L134" s="52"/>
      <c r="M134" s="244"/>
      <c r="N134" s="245"/>
      <c r="O134" s="246"/>
      <c r="P134" s="247"/>
      <c r="Q134" s="248"/>
    </row>
    <row r="135" spans="1:17" ht="19.5" customHeight="1" x14ac:dyDescent="0.25">
      <c r="A135" s="237"/>
      <c r="B135" s="238"/>
      <c r="C135" s="239"/>
      <c r="D135" s="54"/>
      <c r="E135" s="20"/>
      <c r="F135" s="240"/>
      <c r="G135" s="241"/>
      <c r="H135" s="242"/>
      <c r="I135" s="243"/>
      <c r="J135" s="239"/>
      <c r="K135" s="241"/>
      <c r="L135" s="52"/>
      <c r="M135" s="244"/>
      <c r="N135" s="245"/>
      <c r="O135" s="246"/>
      <c r="P135" s="247"/>
      <c r="Q135" s="248"/>
    </row>
    <row r="136" spans="1:17" ht="19.5" customHeight="1" x14ac:dyDescent="0.25">
      <c r="A136" s="237"/>
      <c r="B136" s="238"/>
      <c r="C136" s="239"/>
      <c r="D136" s="54"/>
      <c r="E136" s="19"/>
      <c r="F136" s="240"/>
      <c r="G136" s="241"/>
      <c r="H136" s="242"/>
      <c r="I136" s="243"/>
      <c r="J136" s="239"/>
      <c r="K136" s="241"/>
      <c r="L136" s="52"/>
      <c r="M136" s="244"/>
      <c r="N136" s="245"/>
      <c r="O136" s="246"/>
      <c r="P136" s="247"/>
      <c r="Q136" s="248"/>
    </row>
    <row r="137" spans="1:17" ht="19.5" customHeight="1" x14ac:dyDescent="0.25">
      <c r="A137" s="237"/>
      <c r="B137" s="238"/>
      <c r="C137" s="239"/>
      <c r="D137" s="54"/>
      <c r="E137" s="20"/>
      <c r="F137" s="240"/>
      <c r="G137" s="241"/>
      <c r="H137" s="242"/>
      <c r="I137" s="243"/>
      <c r="J137" s="239"/>
      <c r="K137" s="241"/>
      <c r="L137" s="52"/>
      <c r="M137" s="244"/>
      <c r="N137" s="245"/>
      <c r="O137" s="246"/>
      <c r="P137" s="247"/>
      <c r="Q137" s="248"/>
    </row>
    <row r="138" spans="1:17" ht="19.5" customHeight="1" x14ac:dyDescent="0.25">
      <c r="A138" s="237"/>
      <c r="B138" s="238"/>
      <c r="C138" s="239"/>
      <c r="D138" s="54"/>
      <c r="E138" s="20"/>
      <c r="F138" s="240"/>
      <c r="G138" s="241"/>
      <c r="H138" s="242"/>
      <c r="I138" s="243"/>
      <c r="J138" s="239"/>
      <c r="K138" s="241"/>
      <c r="L138" s="52"/>
      <c r="M138" s="244"/>
      <c r="N138" s="245"/>
      <c r="O138" s="246"/>
      <c r="P138" s="247"/>
      <c r="Q138" s="248"/>
    </row>
    <row r="139" spans="1:17" ht="19.5" customHeight="1" x14ac:dyDescent="0.25">
      <c r="A139" s="237"/>
      <c r="B139" s="238"/>
      <c r="C139" s="239"/>
      <c r="D139" s="54"/>
      <c r="E139" s="20"/>
      <c r="F139" s="240"/>
      <c r="G139" s="241"/>
      <c r="H139" s="242"/>
      <c r="I139" s="243"/>
      <c r="J139" s="239"/>
      <c r="K139" s="241"/>
      <c r="L139" s="52"/>
      <c r="M139" s="244"/>
      <c r="N139" s="245"/>
      <c r="O139" s="246"/>
      <c r="P139" s="247"/>
      <c r="Q139" s="248"/>
    </row>
    <row r="140" spans="1:17" ht="19.5" customHeight="1" x14ac:dyDescent="0.25">
      <c r="A140" s="237"/>
      <c r="B140" s="238"/>
      <c r="C140" s="239"/>
      <c r="D140" s="54"/>
      <c r="E140" s="20"/>
      <c r="F140" s="240"/>
      <c r="G140" s="241"/>
      <c r="H140" s="242"/>
      <c r="I140" s="243"/>
      <c r="J140" s="239"/>
      <c r="K140" s="241"/>
      <c r="L140" s="52"/>
      <c r="M140" s="244"/>
      <c r="N140" s="245"/>
      <c r="O140" s="246"/>
      <c r="P140" s="247"/>
      <c r="Q140" s="248"/>
    </row>
    <row r="141" spans="1:17" ht="19.5" customHeight="1" x14ac:dyDescent="0.25">
      <c r="A141" s="237"/>
      <c r="B141" s="238"/>
      <c r="C141" s="239"/>
      <c r="D141" s="54"/>
      <c r="E141" s="20"/>
      <c r="F141" s="240"/>
      <c r="G141" s="241"/>
      <c r="H141" s="242"/>
      <c r="I141" s="243"/>
      <c r="J141" s="239"/>
      <c r="K141" s="241"/>
      <c r="L141" s="52"/>
      <c r="M141" s="244"/>
      <c r="N141" s="245"/>
      <c r="O141" s="246"/>
      <c r="P141" s="247"/>
      <c r="Q141" s="248"/>
    </row>
    <row r="142" spans="1:17" ht="19.5" customHeight="1" x14ac:dyDescent="0.25">
      <c r="A142" s="237"/>
      <c r="B142" s="238"/>
      <c r="C142" s="239"/>
      <c r="D142" s="54"/>
      <c r="E142" s="20"/>
      <c r="F142" s="240"/>
      <c r="G142" s="241"/>
      <c r="H142" s="242"/>
      <c r="I142" s="243"/>
      <c r="J142" s="239"/>
      <c r="K142" s="241"/>
      <c r="L142" s="52"/>
      <c r="M142" s="244"/>
      <c r="N142" s="245"/>
      <c r="O142" s="246"/>
      <c r="P142" s="247"/>
      <c r="Q142" s="248"/>
    </row>
    <row r="143" spans="1:17" ht="19.5" customHeight="1" x14ac:dyDescent="0.25">
      <c r="A143" s="237"/>
      <c r="B143" s="238"/>
      <c r="C143" s="239"/>
      <c r="D143" s="54"/>
      <c r="E143" s="19"/>
      <c r="F143" s="240"/>
      <c r="G143" s="241"/>
      <c r="H143" s="242"/>
      <c r="I143" s="243"/>
      <c r="J143" s="239"/>
      <c r="K143" s="241"/>
      <c r="L143" s="52"/>
      <c r="M143" s="244"/>
      <c r="N143" s="245"/>
      <c r="O143" s="246"/>
      <c r="P143" s="247"/>
      <c r="Q143" s="248"/>
    </row>
    <row r="144" spans="1:17" ht="19.5" customHeight="1" x14ac:dyDescent="0.25">
      <c r="A144" s="237"/>
      <c r="B144" s="238"/>
      <c r="C144" s="239"/>
      <c r="D144" s="54"/>
      <c r="E144" s="20"/>
      <c r="F144" s="240"/>
      <c r="G144" s="241"/>
      <c r="H144" s="242"/>
      <c r="I144" s="243"/>
      <c r="J144" s="239"/>
      <c r="K144" s="241"/>
      <c r="L144" s="52"/>
      <c r="M144" s="244"/>
      <c r="N144" s="245"/>
      <c r="O144" s="246"/>
      <c r="P144" s="247"/>
      <c r="Q144" s="248"/>
    </row>
    <row r="145" spans="1:17" ht="19.5" customHeight="1" x14ac:dyDescent="0.25">
      <c r="A145" s="237"/>
      <c r="B145" s="238"/>
      <c r="C145" s="239"/>
      <c r="D145" s="54"/>
      <c r="E145" s="20"/>
      <c r="F145" s="240"/>
      <c r="G145" s="241"/>
      <c r="H145" s="242"/>
      <c r="I145" s="243"/>
      <c r="J145" s="239"/>
      <c r="K145" s="241"/>
      <c r="L145" s="52"/>
      <c r="M145" s="244"/>
      <c r="N145" s="245"/>
      <c r="O145" s="246"/>
      <c r="P145" s="247"/>
      <c r="Q145" s="248"/>
    </row>
    <row r="146" spans="1:17" ht="19.5" customHeight="1" x14ac:dyDescent="0.25">
      <c r="A146" s="237"/>
      <c r="B146" s="238"/>
      <c r="C146" s="239"/>
      <c r="D146" s="54"/>
      <c r="E146" s="19"/>
      <c r="F146" s="240"/>
      <c r="G146" s="241"/>
      <c r="H146" s="242"/>
      <c r="I146" s="243"/>
      <c r="J146" s="239"/>
      <c r="K146" s="241"/>
      <c r="L146" s="52"/>
      <c r="M146" s="244"/>
      <c r="N146" s="245"/>
      <c r="O146" s="246"/>
      <c r="P146" s="247"/>
      <c r="Q146" s="248"/>
    </row>
    <row r="147" spans="1:17" ht="19.5" customHeight="1" x14ac:dyDescent="0.25">
      <c r="A147" s="237"/>
      <c r="B147" s="238"/>
      <c r="C147" s="239"/>
      <c r="D147" s="54"/>
      <c r="E147" s="20"/>
      <c r="F147" s="240"/>
      <c r="G147" s="241"/>
      <c r="H147" s="242"/>
      <c r="I147" s="243"/>
      <c r="J147" s="239"/>
      <c r="K147" s="241"/>
      <c r="L147" s="52"/>
      <c r="M147" s="244"/>
      <c r="N147" s="245"/>
      <c r="O147" s="246"/>
      <c r="P147" s="247"/>
      <c r="Q147" s="248"/>
    </row>
    <row r="148" spans="1:17" ht="19.5" customHeight="1" x14ac:dyDescent="0.25">
      <c r="A148" s="237"/>
      <c r="B148" s="238"/>
      <c r="C148" s="239"/>
      <c r="D148" s="54"/>
      <c r="E148" s="20"/>
      <c r="F148" s="240"/>
      <c r="G148" s="241"/>
      <c r="H148" s="242"/>
      <c r="I148" s="243"/>
      <c r="J148" s="239"/>
      <c r="K148" s="241"/>
      <c r="L148" s="52"/>
      <c r="M148" s="244"/>
      <c r="N148" s="245"/>
      <c r="O148" s="246"/>
      <c r="P148" s="247"/>
      <c r="Q148" s="248"/>
    </row>
    <row r="149" spans="1:17" ht="19.5" customHeight="1" x14ac:dyDescent="0.25">
      <c r="A149" s="237"/>
      <c r="B149" s="238"/>
      <c r="C149" s="239"/>
      <c r="D149" s="54"/>
      <c r="E149" s="20"/>
      <c r="F149" s="240"/>
      <c r="G149" s="241"/>
      <c r="H149" s="242"/>
      <c r="I149" s="243"/>
      <c r="J149" s="239"/>
      <c r="K149" s="241"/>
      <c r="L149" s="52"/>
      <c r="M149" s="244"/>
      <c r="N149" s="245"/>
      <c r="O149" s="246"/>
      <c r="P149" s="247"/>
      <c r="Q149" s="248"/>
    </row>
    <row r="150" spans="1:17" ht="19.5" customHeight="1" x14ac:dyDescent="0.25">
      <c r="A150" s="237"/>
      <c r="B150" s="238"/>
      <c r="C150" s="239"/>
      <c r="D150" s="54"/>
      <c r="E150" s="20"/>
      <c r="F150" s="240"/>
      <c r="G150" s="241"/>
      <c r="H150" s="242"/>
      <c r="I150" s="243"/>
      <c r="J150" s="239"/>
      <c r="K150" s="241"/>
      <c r="L150" s="52"/>
      <c r="M150" s="244"/>
      <c r="N150" s="245"/>
      <c r="O150" s="246"/>
      <c r="P150" s="247"/>
      <c r="Q150" s="248"/>
    </row>
    <row r="151" spans="1:17" ht="19.5" customHeight="1" x14ac:dyDescent="0.25">
      <c r="A151" s="237"/>
      <c r="B151" s="238"/>
      <c r="C151" s="239"/>
      <c r="D151" s="54"/>
      <c r="E151" s="19"/>
      <c r="F151" s="240"/>
      <c r="G151" s="241"/>
      <c r="H151" s="242"/>
      <c r="I151" s="243"/>
      <c r="J151" s="239"/>
      <c r="K151" s="241"/>
      <c r="L151" s="52"/>
      <c r="M151" s="244"/>
      <c r="N151" s="245"/>
      <c r="O151" s="246"/>
      <c r="P151" s="247"/>
      <c r="Q151" s="248"/>
    </row>
    <row r="152" spans="1:17" ht="19.5" customHeight="1" x14ac:dyDescent="0.25">
      <c r="A152" s="237"/>
      <c r="B152" s="238"/>
      <c r="C152" s="239"/>
      <c r="D152" s="54"/>
      <c r="E152" s="19"/>
      <c r="F152" s="240"/>
      <c r="G152" s="241"/>
      <c r="H152" s="242"/>
      <c r="I152" s="243"/>
      <c r="J152" s="239"/>
      <c r="K152" s="241"/>
      <c r="L152" s="52"/>
      <c r="M152" s="244"/>
      <c r="N152" s="245"/>
      <c r="O152" s="246"/>
      <c r="P152" s="247"/>
      <c r="Q152" s="248"/>
    </row>
    <row r="153" spans="1:17" ht="19.5" customHeight="1" x14ac:dyDescent="0.25">
      <c r="A153" s="149"/>
      <c r="B153" s="150"/>
      <c r="C153" s="151"/>
      <c r="D153" s="152"/>
      <c r="E153" s="153"/>
      <c r="F153" s="154"/>
      <c r="G153" s="155"/>
      <c r="H153" s="156"/>
      <c r="I153" s="157"/>
      <c r="J153" s="151"/>
      <c r="K153" s="155"/>
      <c r="L153" s="158"/>
      <c r="M153" s="159"/>
      <c r="N153" s="160"/>
      <c r="O153" s="161"/>
      <c r="P153" s="162"/>
      <c r="Q153" s="163"/>
    </row>
    <row r="154" spans="1:17" ht="19.5" customHeight="1" x14ac:dyDescent="0.25">
      <c r="A154" s="237"/>
      <c r="B154" s="238"/>
      <c r="C154" s="239"/>
      <c r="D154" s="54"/>
      <c r="E154" s="19"/>
      <c r="F154" s="240"/>
      <c r="G154" s="241"/>
      <c r="H154" s="242"/>
      <c r="I154" s="243"/>
      <c r="J154" s="239"/>
      <c r="K154" s="241"/>
      <c r="L154" s="52"/>
      <c r="M154" s="244"/>
      <c r="N154" s="245"/>
      <c r="O154" s="246"/>
      <c r="P154" s="247"/>
      <c r="Q154" s="248"/>
    </row>
    <row r="155" spans="1:17" ht="19.5" customHeight="1" x14ac:dyDescent="0.25">
      <c r="A155" s="237"/>
      <c r="B155" s="238"/>
      <c r="C155" s="239"/>
      <c r="D155" s="54"/>
      <c r="E155" s="20"/>
      <c r="F155" s="240"/>
      <c r="G155" s="241"/>
      <c r="H155" s="242"/>
      <c r="I155" s="243"/>
      <c r="J155" s="239"/>
      <c r="K155" s="241"/>
      <c r="L155" s="52"/>
      <c r="M155" s="244"/>
      <c r="N155" s="245"/>
      <c r="O155" s="246"/>
      <c r="P155" s="247"/>
      <c r="Q155" s="248"/>
    </row>
    <row r="156" spans="1:17" ht="19.5" customHeight="1" x14ac:dyDescent="0.25">
      <c r="A156" s="237"/>
      <c r="B156" s="238"/>
      <c r="C156" s="239"/>
      <c r="D156" s="54"/>
      <c r="E156" s="20"/>
      <c r="F156" s="240"/>
      <c r="G156" s="241"/>
      <c r="H156" s="242"/>
      <c r="I156" s="243"/>
      <c r="J156" s="239"/>
      <c r="K156" s="241"/>
      <c r="L156" s="52"/>
      <c r="M156" s="244"/>
      <c r="N156" s="245"/>
      <c r="O156" s="246"/>
      <c r="P156" s="247"/>
      <c r="Q156" s="248"/>
    </row>
    <row r="157" spans="1:17" ht="19.5" customHeight="1" x14ac:dyDescent="0.25">
      <c r="A157" s="237"/>
      <c r="B157" s="238"/>
      <c r="C157" s="239"/>
      <c r="D157" s="54"/>
      <c r="E157" s="20"/>
      <c r="F157" s="240"/>
      <c r="G157" s="241"/>
      <c r="H157" s="242"/>
      <c r="I157" s="243"/>
      <c r="J157" s="239"/>
      <c r="K157" s="241"/>
      <c r="L157" s="52"/>
      <c r="M157" s="244"/>
      <c r="N157" s="245"/>
      <c r="O157" s="246"/>
      <c r="P157" s="247"/>
      <c r="Q157" s="248"/>
    </row>
    <row r="158" spans="1:17" ht="19.5" customHeight="1" x14ac:dyDescent="0.25">
      <c r="A158" s="237"/>
      <c r="B158" s="238"/>
      <c r="C158" s="239"/>
      <c r="D158" s="54"/>
      <c r="E158" s="20"/>
      <c r="F158" s="240"/>
      <c r="G158" s="241"/>
      <c r="H158" s="242"/>
      <c r="I158" s="243"/>
      <c r="J158" s="239"/>
      <c r="K158" s="241"/>
      <c r="L158" s="52"/>
      <c r="M158" s="244"/>
      <c r="N158" s="245"/>
      <c r="O158" s="246"/>
      <c r="P158" s="247"/>
      <c r="Q158" s="248"/>
    </row>
    <row r="159" spans="1:17" ht="19.5" customHeight="1" x14ac:dyDescent="0.25">
      <c r="A159" s="237"/>
      <c r="B159" s="238"/>
      <c r="C159" s="239"/>
      <c r="D159" s="54"/>
      <c r="E159" s="19"/>
      <c r="F159" s="240"/>
      <c r="G159" s="241"/>
      <c r="H159" s="242"/>
      <c r="I159" s="243"/>
      <c r="J159" s="239"/>
      <c r="K159" s="241"/>
      <c r="L159" s="52"/>
      <c r="M159" s="244"/>
      <c r="N159" s="245"/>
      <c r="O159" s="246"/>
      <c r="P159" s="247"/>
      <c r="Q159" s="248"/>
    </row>
    <row r="160" spans="1:17" ht="19.5" customHeight="1" x14ac:dyDescent="0.25">
      <c r="A160" s="237"/>
      <c r="B160" s="238"/>
      <c r="C160" s="239"/>
      <c r="D160" s="54"/>
      <c r="E160" s="19"/>
      <c r="F160" s="240"/>
      <c r="G160" s="241"/>
      <c r="H160" s="242"/>
      <c r="I160" s="243"/>
      <c r="J160" s="239"/>
      <c r="K160" s="241"/>
      <c r="L160" s="52"/>
      <c r="M160" s="244"/>
      <c r="N160" s="245"/>
      <c r="O160" s="246"/>
      <c r="P160" s="247"/>
      <c r="Q160" s="248"/>
    </row>
    <row r="161" spans="1:17" ht="19.5" customHeight="1" x14ac:dyDescent="0.25">
      <c r="A161" s="237"/>
      <c r="B161" s="238"/>
      <c r="C161" s="239"/>
      <c r="D161" s="54"/>
      <c r="E161" s="20"/>
      <c r="F161" s="240"/>
      <c r="G161" s="241"/>
      <c r="H161" s="242"/>
      <c r="I161" s="243"/>
      <c r="J161" s="239"/>
      <c r="K161" s="241"/>
      <c r="L161" s="52"/>
      <c r="M161" s="244"/>
      <c r="N161" s="245"/>
      <c r="O161" s="246"/>
      <c r="P161" s="247"/>
      <c r="Q161" s="248"/>
    </row>
    <row r="162" spans="1:17" ht="19.5" customHeight="1" x14ac:dyDescent="0.25">
      <c r="A162" s="237"/>
      <c r="B162" s="238"/>
      <c r="C162" s="239"/>
      <c r="D162" s="54"/>
      <c r="E162" s="20"/>
      <c r="F162" s="240"/>
      <c r="G162" s="241"/>
      <c r="H162" s="242"/>
      <c r="I162" s="243"/>
      <c r="J162" s="239"/>
      <c r="K162" s="241"/>
      <c r="L162" s="52"/>
      <c r="M162" s="244"/>
      <c r="N162" s="245"/>
      <c r="O162" s="246"/>
      <c r="P162" s="247"/>
      <c r="Q162" s="248"/>
    </row>
    <row r="163" spans="1:17" ht="19.5" customHeight="1" x14ac:dyDescent="0.25">
      <c r="A163" s="237"/>
      <c r="B163" s="238"/>
      <c r="C163" s="239"/>
      <c r="D163" s="54"/>
      <c r="E163" s="19"/>
      <c r="F163" s="240"/>
      <c r="G163" s="241"/>
      <c r="H163" s="242"/>
      <c r="I163" s="243"/>
      <c r="J163" s="239"/>
      <c r="K163" s="241"/>
      <c r="L163" s="52"/>
      <c r="M163" s="244"/>
      <c r="N163" s="245"/>
      <c r="O163" s="246"/>
      <c r="P163" s="247"/>
      <c r="Q163" s="248"/>
    </row>
    <row r="164" spans="1:17" ht="19.5" customHeight="1" x14ac:dyDescent="0.25">
      <c r="A164" s="237"/>
      <c r="B164" s="238"/>
      <c r="C164" s="239"/>
      <c r="D164" s="54"/>
      <c r="E164" s="19"/>
      <c r="F164" s="240"/>
      <c r="G164" s="241"/>
      <c r="H164" s="242"/>
      <c r="I164" s="243"/>
      <c r="J164" s="239"/>
      <c r="K164" s="241"/>
      <c r="L164" s="52"/>
      <c r="M164" s="244"/>
      <c r="N164" s="245"/>
      <c r="O164" s="246"/>
      <c r="P164" s="247"/>
      <c r="Q164" s="248"/>
    </row>
    <row r="165" spans="1:17" ht="19.5" customHeight="1" x14ac:dyDescent="0.25">
      <c r="A165" s="237"/>
      <c r="B165" s="238"/>
      <c r="C165" s="239"/>
      <c r="D165" s="54"/>
      <c r="E165" s="20"/>
      <c r="F165" s="240"/>
      <c r="G165" s="241"/>
      <c r="H165" s="242"/>
      <c r="I165" s="243"/>
      <c r="J165" s="239"/>
      <c r="K165" s="241"/>
      <c r="L165" s="52"/>
      <c r="M165" s="244"/>
      <c r="N165" s="245"/>
      <c r="O165" s="246"/>
      <c r="P165" s="247"/>
      <c r="Q165" s="248"/>
    </row>
    <row r="166" spans="1:17" ht="19.5" customHeight="1" x14ac:dyDescent="0.25">
      <c r="A166" s="237"/>
      <c r="B166" s="238"/>
      <c r="C166" s="239"/>
      <c r="D166" s="54"/>
      <c r="E166" s="20"/>
      <c r="F166" s="240"/>
      <c r="G166" s="241"/>
      <c r="H166" s="242"/>
      <c r="I166" s="243"/>
      <c r="J166" s="239"/>
      <c r="K166" s="241"/>
      <c r="L166" s="52"/>
      <c r="M166" s="244"/>
      <c r="N166" s="245"/>
      <c r="O166" s="246"/>
      <c r="P166" s="247"/>
      <c r="Q166" s="248"/>
    </row>
    <row r="167" spans="1:17" ht="19.5" customHeight="1" x14ac:dyDescent="0.25">
      <c r="A167" s="237"/>
      <c r="B167" s="238"/>
      <c r="C167" s="239"/>
      <c r="D167" s="54"/>
      <c r="E167" s="20"/>
      <c r="F167" s="240"/>
      <c r="G167" s="241"/>
      <c r="H167" s="242"/>
      <c r="I167" s="243"/>
      <c r="J167" s="239"/>
      <c r="K167" s="241"/>
      <c r="L167" s="52"/>
      <c r="M167" s="244"/>
      <c r="N167" s="245"/>
      <c r="O167" s="246"/>
      <c r="P167" s="247"/>
      <c r="Q167" s="248"/>
    </row>
    <row r="168" spans="1:17" ht="19.5" customHeight="1" x14ac:dyDescent="0.25">
      <c r="A168" s="237"/>
      <c r="B168" s="238"/>
      <c r="C168" s="239"/>
      <c r="D168" s="54"/>
      <c r="E168" s="19"/>
      <c r="F168" s="240"/>
      <c r="G168" s="241"/>
      <c r="H168" s="242"/>
      <c r="I168" s="243"/>
      <c r="J168" s="239"/>
      <c r="K168" s="241"/>
      <c r="L168" s="52"/>
      <c r="M168" s="244"/>
      <c r="N168" s="245"/>
      <c r="O168" s="246"/>
      <c r="P168" s="247"/>
      <c r="Q168" s="248"/>
    </row>
    <row r="169" spans="1:17" ht="19.5" customHeight="1" x14ac:dyDescent="0.25">
      <c r="A169" s="237"/>
      <c r="B169" s="238"/>
      <c r="C169" s="239"/>
      <c r="D169" s="54"/>
      <c r="E169" s="20"/>
      <c r="F169" s="240"/>
      <c r="G169" s="241"/>
      <c r="H169" s="242"/>
      <c r="I169" s="243"/>
      <c r="J169" s="239"/>
      <c r="K169" s="241"/>
      <c r="L169" s="52"/>
      <c r="M169" s="244"/>
      <c r="N169" s="245"/>
      <c r="O169" s="246"/>
      <c r="P169" s="247"/>
      <c r="Q169" s="248"/>
    </row>
    <row r="170" spans="1:17" ht="19.5" customHeight="1" x14ac:dyDescent="0.25">
      <c r="A170" s="237"/>
      <c r="B170" s="238"/>
      <c r="C170" s="239"/>
      <c r="D170" s="54"/>
      <c r="E170" s="20"/>
      <c r="F170" s="240"/>
      <c r="G170" s="241"/>
      <c r="H170" s="242"/>
      <c r="I170" s="243"/>
      <c r="J170" s="239"/>
      <c r="K170" s="241"/>
      <c r="L170" s="52"/>
      <c r="M170" s="244"/>
      <c r="N170" s="245"/>
      <c r="O170" s="246"/>
      <c r="P170" s="247"/>
      <c r="Q170" s="248"/>
    </row>
    <row r="171" spans="1:17" ht="19.5" customHeight="1" x14ac:dyDescent="0.25">
      <c r="A171" s="237"/>
      <c r="B171" s="238"/>
      <c r="C171" s="239"/>
      <c r="D171" s="54"/>
      <c r="E171" s="20"/>
      <c r="F171" s="240"/>
      <c r="G171" s="241"/>
      <c r="H171" s="242"/>
      <c r="I171" s="243"/>
      <c r="J171" s="239"/>
      <c r="K171" s="241"/>
      <c r="L171" s="52"/>
      <c r="M171" s="244"/>
      <c r="N171" s="245"/>
      <c r="O171" s="246"/>
      <c r="P171" s="247"/>
      <c r="Q171" s="248"/>
    </row>
    <row r="172" spans="1:17" ht="19.5" customHeight="1" x14ac:dyDescent="0.25">
      <c r="A172" s="164"/>
      <c r="B172" s="165"/>
      <c r="C172" s="166"/>
      <c r="D172" s="167"/>
      <c r="E172" s="180"/>
      <c r="F172" s="169"/>
      <c r="G172" s="170"/>
      <c r="H172" s="171"/>
      <c r="I172" s="172"/>
      <c r="J172" s="166"/>
      <c r="K172" s="170"/>
      <c r="L172" s="173"/>
      <c r="M172" s="174"/>
      <c r="N172" s="175"/>
      <c r="O172" s="176"/>
      <c r="P172" s="177"/>
      <c r="Q172" s="178"/>
    </row>
    <row r="173" spans="1:17" ht="19.5" customHeight="1" x14ac:dyDescent="0.25">
      <c r="A173" s="164"/>
      <c r="B173" s="165"/>
      <c r="C173" s="166"/>
      <c r="D173" s="167"/>
      <c r="E173" s="180"/>
      <c r="F173" s="169"/>
      <c r="G173" s="170"/>
      <c r="H173" s="171"/>
      <c r="I173" s="172"/>
      <c r="J173" s="166"/>
      <c r="K173" s="170"/>
      <c r="L173" s="173"/>
      <c r="M173" s="174"/>
      <c r="N173" s="175"/>
      <c r="O173" s="176"/>
      <c r="P173" s="177"/>
      <c r="Q173" s="178"/>
    </row>
    <row r="174" spans="1:17" ht="19.5" customHeight="1" x14ac:dyDescent="0.25">
      <c r="A174" s="164"/>
      <c r="B174" s="165"/>
      <c r="C174" s="166"/>
      <c r="D174" s="167"/>
      <c r="E174" s="180"/>
      <c r="F174" s="169"/>
      <c r="G174" s="170"/>
      <c r="H174" s="171"/>
      <c r="I174" s="172"/>
      <c r="J174" s="166"/>
      <c r="K174" s="170"/>
      <c r="L174" s="173"/>
      <c r="M174" s="174"/>
      <c r="N174" s="175"/>
      <c r="O174" s="176"/>
      <c r="P174" s="177"/>
      <c r="Q174" s="178"/>
    </row>
    <row r="175" spans="1:17" ht="19.5" customHeight="1" x14ac:dyDescent="0.25">
      <c r="A175" s="237"/>
      <c r="B175" s="238"/>
      <c r="C175" s="239"/>
      <c r="D175" s="54"/>
      <c r="E175" s="20"/>
      <c r="F175" s="240"/>
      <c r="G175" s="241"/>
      <c r="H175" s="242"/>
      <c r="I175" s="243"/>
      <c r="J175" s="239"/>
      <c r="K175" s="241"/>
      <c r="L175" s="52"/>
      <c r="M175" s="244"/>
      <c r="N175" s="245"/>
      <c r="O175" s="246"/>
      <c r="P175" s="247"/>
      <c r="Q175" s="248"/>
    </row>
    <row r="176" spans="1:17" ht="19.5" customHeight="1" x14ac:dyDescent="0.25">
      <c r="A176" s="237"/>
      <c r="B176" s="238"/>
      <c r="C176" s="239"/>
      <c r="D176" s="54"/>
      <c r="E176" s="20"/>
      <c r="F176" s="240"/>
      <c r="G176" s="241"/>
      <c r="H176" s="242"/>
      <c r="I176" s="243"/>
      <c r="J176" s="239"/>
      <c r="K176" s="241"/>
      <c r="L176" s="52"/>
      <c r="M176" s="244"/>
      <c r="N176" s="245"/>
      <c r="O176" s="246"/>
      <c r="P176" s="247"/>
      <c r="Q176" s="248"/>
    </row>
    <row r="177" spans="1:17" ht="19.5" customHeight="1" x14ac:dyDescent="0.25">
      <c r="A177" s="237"/>
      <c r="B177" s="238"/>
      <c r="C177" s="239"/>
      <c r="D177" s="54"/>
      <c r="E177" s="20"/>
      <c r="F177" s="240"/>
      <c r="G177" s="241"/>
      <c r="H177" s="242"/>
      <c r="I177" s="243"/>
      <c r="J177" s="239"/>
      <c r="K177" s="241"/>
      <c r="L177" s="52"/>
      <c r="M177" s="244"/>
      <c r="N177" s="245"/>
      <c r="O177" s="246"/>
      <c r="P177" s="247"/>
      <c r="Q177" s="248"/>
    </row>
    <row r="178" spans="1:17" ht="19.5" customHeight="1" x14ac:dyDescent="0.25">
      <c r="A178" s="237"/>
      <c r="B178" s="238"/>
      <c r="C178" s="239"/>
      <c r="D178" s="54"/>
      <c r="E178" s="19"/>
      <c r="F178" s="240"/>
      <c r="G178" s="241"/>
      <c r="H178" s="242"/>
      <c r="I178" s="243"/>
      <c r="J178" s="239"/>
      <c r="K178" s="241"/>
      <c r="L178" s="52"/>
      <c r="M178" s="244"/>
      <c r="N178" s="245"/>
      <c r="O178" s="246"/>
      <c r="P178" s="247"/>
      <c r="Q178" s="248"/>
    </row>
    <row r="179" spans="1:17" ht="19.5" customHeight="1" x14ac:dyDescent="0.25">
      <c r="A179" s="237"/>
      <c r="B179" s="238"/>
      <c r="C179" s="239"/>
      <c r="D179" s="54"/>
      <c r="E179" s="20"/>
      <c r="F179" s="240"/>
      <c r="G179" s="241"/>
      <c r="H179" s="242"/>
      <c r="I179" s="243"/>
      <c r="J179" s="239"/>
      <c r="K179" s="241"/>
      <c r="L179" s="52"/>
      <c r="M179" s="244"/>
      <c r="N179" s="245"/>
      <c r="O179" s="246"/>
      <c r="P179" s="247"/>
      <c r="Q179" s="248"/>
    </row>
    <row r="180" spans="1:17" ht="19.5" customHeight="1" x14ac:dyDescent="0.25">
      <c r="A180" s="164"/>
      <c r="B180" s="165"/>
      <c r="C180" s="166"/>
      <c r="D180" s="167"/>
      <c r="E180" s="168"/>
      <c r="F180" s="169"/>
      <c r="G180" s="170"/>
      <c r="H180" s="171"/>
      <c r="I180" s="172"/>
      <c r="J180" s="166"/>
      <c r="K180" s="170"/>
      <c r="L180" s="173"/>
      <c r="M180" s="174"/>
      <c r="N180" s="175"/>
      <c r="O180" s="176"/>
      <c r="P180" s="177"/>
      <c r="Q180" s="178"/>
    </row>
    <row r="181" spans="1:17" ht="19.5" customHeight="1" x14ac:dyDescent="0.25">
      <c r="A181" s="237"/>
      <c r="B181" s="238"/>
      <c r="C181" s="239"/>
      <c r="D181" s="54"/>
      <c r="E181" s="20"/>
      <c r="F181" s="240"/>
      <c r="G181" s="241"/>
      <c r="H181" s="242"/>
      <c r="I181" s="243"/>
      <c r="J181" s="239"/>
      <c r="K181" s="241"/>
      <c r="L181" s="52"/>
      <c r="M181" s="244"/>
      <c r="N181" s="245"/>
      <c r="O181" s="246"/>
      <c r="P181" s="247"/>
      <c r="Q181" s="248"/>
    </row>
    <row r="182" spans="1:17" ht="19.5" customHeight="1" x14ac:dyDescent="0.25">
      <c r="A182" s="237"/>
      <c r="B182" s="238"/>
      <c r="C182" s="239"/>
      <c r="D182" s="54"/>
      <c r="E182" s="19"/>
      <c r="F182" s="240"/>
      <c r="G182" s="241"/>
      <c r="H182" s="242"/>
      <c r="I182" s="243"/>
      <c r="J182" s="239"/>
      <c r="K182" s="241"/>
      <c r="L182" s="52"/>
      <c r="M182" s="244"/>
      <c r="N182" s="245"/>
      <c r="O182" s="246"/>
      <c r="P182" s="247"/>
      <c r="Q182" s="248"/>
    </row>
    <row r="183" spans="1:17" ht="19.5" customHeight="1" x14ac:dyDescent="0.25">
      <c r="A183" s="237"/>
      <c r="B183" s="238"/>
      <c r="C183" s="239"/>
      <c r="D183" s="54"/>
      <c r="E183" s="20"/>
      <c r="F183" s="240"/>
      <c r="G183" s="241"/>
      <c r="H183" s="242"/>
      <c r="I183" s="243"/>
      <c r="J183" s="239"/>
      <c r="K183" s="241"/>
      <c r="L183" s="52"/>
      <c r="M183" s="244"/>
      <c r="N183" s="245"/>
      <c r="O183" s="246"/>
      <c r="P183" s="247"/>
      <c r="Q183" s="248"/>
    </row>
    <row r="184" spans="1:17" ht="19.5" customHeight="1" x14ac:dyDescent="0.25">
      <c r="A184" s="237"/>
      <c r="B184" s="238"/>
      <c r="C184" s="239"/>
      <c r="D184" s="54"/>
      <c r="E184" s="19"/>
      <c r="F184" s="240"/>
      <c r="G184" s="241"/>
      <c r="H184" s="242"/>
      <c r="I184" s="243"/>
      <c r="J184" s="239"/>
      <c r="K184" s="241"/>
      <c r="L184" s="52"/>
      <c r="M184" s="244"/>
      <c r="N184" s="245"/>
      <c r="O184" s="246"/>
      <c r="P184" s="247"/>
      <c r="Q184" s="248"/>
    </row>
    <row r="185" spans="1:17" ht="19.5" customHeight="1" x14ac:dyDescent="0.25">
      <c r="A185" s="237"/>
      <c r="B185" s="238"/>
      <c r="C185" s="239"/>
      <c r="D185" s="54"/>
      <c r="E185" s="20"/>
      <c r="F185" s="240"/>
      <c r="G185" s="241"/>
      <c r="H185" s="242"/>
      <c r="I185" s="243"/>
      <c r="J185" s="239"/>
      <c r="K185" s="241"/>
      <c r="L185" s="52"/>
      <c r="M185" s="244"/>
      <c r="N185" s="245"/>
      <c r="O185" s="246"/>
      <c r="P185" s="247"/>
      <c r="Q185" s="248"/>
    </row>
    <row r="186" spans="1:17" ht="19.5" customHeight="1" x14ac:dyDescent="0.25">
      <c r="A186" s="164"/>
      <c r="B186" s="165"/>
      <c r="C186" s="166"/>
      <c r="D186" s="167"/>
      <c r="E186" s="168"/>
      <c r="F186" s="169"/>
      <c r="G186" s="170"/>
      <c r="H186" s="171"/>
      <c r="I186" s="172"/>
      <c r="J186" s="166"/>
      <c r="K186" s="170"/>
      <c r="L186" s="173"/>
      <c r="M186" s="174"/>
      <c r="N186" s="175"/>
      <c r="O186" s="176"/>
      <c r="P186" s="177"/>
      <c r="Q186" s="178"/>
    </row>
    <row r="187" spans="1:17" ht="19.5" customHeight="1" x14ac:dyDescent="0.25">
      <c r="A187" s="164"/>
      <c r="B187" s="165"/>
      <c r="C187" s="166"/>
      <c r="D187" s="167"/>
      <c r="E187" s="168"/>
      <c r="F187" s="169"/>
      <c r="G187" s="170"/>
      <c r="H187" s="171"/>
      <c r="I187" s="172"/>
      <c r="J187" s="166"/>
      <c r="K187" s="170"/>
      <c r="L187" s="173"/>
      <c r="M187" s="174"/>
      <c r="N187" s="175"/>
      <c r="O187" s="176"/>
      <c r="P187" s="177"/>
      <c r="Q187" s="178"/>
    </row>
    <row r="188" spans="1:17" ht="19.5" customHeight="1" x14ac:dyDescent="0.25">
      <c r="A188" s="237"/>
      <c r="B188" s="238"/>
      <c r="C188" s="239"/>
      <c r="D188" s="54"/>
      <c r="E188" s="20"/>
      <c r="F188" s="240"/>
      <c r="G188" s="241"/>
      <c r="H188" s="242"/>
      <c r="I188" s="243"/>
      <c r="J188" s="239"/>
      <c r="K188" s="241"/>
      <c r="L188" s="52"/>
      <c r="M188" s="244"/>
      <c r="N188" s="245"/>
      <c r="O188" s="246"/>
      <c r="P188" s="247"/>
      <c r="Q188" s="248"/>
    </row>
    <row r="189" spans="1:17" ht="19.5" customHeight="1" x14ac:dyDescent="0.25">
      <c r="A189" s="237"/>
      <c r="B189" s="238"/>
      <c r="C189" s="239"/>
      <c r="D189" s="54"/>
      <c r="E189" s="19"/>
      <c r="F189" s="240"/>
      <c r="G189" s="241"/>
      <c r="H189" s="242"/>
      <c r="I189" s="243"/>
      <c r="J189" s="239"/>
      <c r="K189" s="241"/>
      <c r="L189" s="52"/>
      <c r="M189" s="244"/>
      <c r="N189" s="245"/>
      <c r="O189" s="246"/>
      <c r="P189" s="247"/>
      <c r="Q189" s="248"/>
    </row>
    <row r="190" spans="1:17" ht="19.5" customHeight="1" x14ac:dyDescent="0.25">
      <c r="A190" s="237"/>
      <c r="B190" s="238"/>
      <c r="C190" s="239"/>
      <c r="D190" s="54"/>
      <c r="E190" s="19"/>
      <c r="F190" s="240"/>
      <c r="G190" s="241"/>
      <c r="H190" s="242"/>
      <c r="I190" s="243"/>
      <c r="J190" s="239"/>
      <c r="K190" s="241"/>
      <c r="L190" s="52"/>
      <c r="M190" s="244"/>
      <c r="N190" s="245"/>
      <c r="O190" s="246"/>
      <c r="P190" s="247"/>
      <c r="Q190" s="248"/>
    </row>
    <row r="191" spans="1:17" ht="19.5" customHeight="1" x14ac:dyDescent="0.25">
      <c r="A191" s="237"/>
      <c r="B191" s="238"/>
      <c r="C191" s="239"/>
      <c r="D191" s="54"/>
      <c r="E191" s="19"/>
      <c r="F191" s="240"/>
      <c r="G191" s="241"/>
      <c r="H191" s="242"/>
      <c r="I191" s="243"/>
      <c r="J191" s="239"/>
      <c r="K191" s="241"/>
      <c r="L191" s="52"/>
      <c r="M191" s="244"/>
      <c r="N191" s="245"/>
      <c r="O191" s="246"/>
      <c r="P191" s="247"/>
      <c r="Q191" s="248"/>
    </row>
    <row r="192" spans="1:17" ht="19.5" customHeight="1" x14ac:dyDescent="0.25">
      <c r="A192" s="237"/>
      <c r="B192" s="238"/>
      <c r="C192" s="239"/>
      <c r="D192" s="54"/>
      <c r="E192" s="19"/>
      <c r="F192" s="240"/>
      <c r="G192" s="241"/>
      <c r="H192" s="242"/>
      <c r="I192" s="243"/>
      <c r="J192" s="239"/>
      <c r="K192" s="241"/>
      <c r="L192" s="52"/>
      <c r="M192" s="244"/>
      <c r="N192" s="245"/>
      <c r="O192" s="246"/>
      <c r="P192" s="247"/>
      <c r="Q192" s="248"/>
    </row>
    <row r="193" spans="1:17" ht="19.5" customHeight="1" x14ac:dyDescent="0.25">
      <c r="A193" s="237"/>
      <c r="B193" s="238"/>
      <c r="C193" s="239"/>
      <c r="D193" s="54"/>
      <c r="E193" s="20"/>
      <c r="F193" s="240"/>
      <c r="G193" s="241"/>
      <c r="H193" s="242"/>
      <c r="I193" s="243"/>
      <c r="J193" s="239"/>
      <c r="K193" s="241"/>
      <c r="L193" s="52"/>
      <c r="M193" s="244"/>
      <c r="N193" s="245"/>
      <c r="O193" s="246"/>
      <c r="P193" s="247"/>
      <c r="Q193" s="248"/>
    </row>
    <row r="194" spans="1:17" ht="19.5" customHeight="1" x14ac:dyDescent="0.25">
      <c r="A194" s="237"/>
      <c r="B194" s="238"/>
      <c r="C194" s="239"/>
      <c r="D194" s="54"/>
      <c r="E194" s="20"/>
      <c r="F194" s="240"/>
      <c r="G194" s="241"/>
      <c r="H194" s="242"/>
      <c r="I194" s="243"/>
      <c r="J194" s="239"/>
      <c r="K194" s="241"/>
      <c r="L194" s="52"/>
      <c r="M194" s="244"/>
      <c r="N194" s="245"/>
      <c r="O194" s="246"/>
      <c r="P194" s="247"/>
      <c r="Q194" s="248"/>
    </row>
    <row r="195" spans="1:17" ht="19.5" customHeight="1" x14ac:dyDescent="0.25">
      <c r="A195" s="237"/>
      <c r="B195" s="238"/>
      <c r="C195" s="239"/>
      <c r="D195" s="54"/>
      <c r="E195" s="20"/>
      <c r="F195" s="240"/>
      <c r="G195" s="241"/>
      <c r="H195" s="242"/>
      <c r="I195" s="243"/>
      <c r="J195" s="239"/>
      <c r="K195" s="241"/>
      <c r="L195" s="52"/>
      <c r="M195" s="244"/>
      <c r="N195" s="245"/>
      <c r="O195" s="246"/>
      <c r="P195" s="247"/>
      <c r="Q195" s="248"/>
    </row>
    <row r="196" spans="1:17" ht="19.5" customHeight="1" x14ac:dyDescent="0.25">
      <c r="A196" s="237"/>
      <c r="B196" s="238"/>
      <c r="C196" s="239"/>
      <c r="D196" s="54"/>
      <c r="E196" s="20"/>
      <c r="F196" s="240"/>
      <c r="G196" s="241"/>
      <c r="H196" s="242"/>
      <c r="I196" s="243"/>
      <c r="J196" s="239"/>
      <c r="K196" s="241"/>
      <c r="L196" s="52"/>
      <c r="M196" s="244"/>
      <c r="N196" s="245"/>
      <c r="O196" s="246"/>
      <c r="P196" s="247"/>
      <c r="Q196" s="248"/>
    </row>
    <row r="197" spans="1:17" ht="19.5" customHeight="1" x14ac:dyDescent="0.25">
      <c r="A197" s="237"/>
      <c r="B197" s="238"/>
      <c r="C197" s="239"/>
      <c r="D197" s="54"/>
      <c r="E197" s="20"/>
      <c r="F197" s="240"/>
      <c r="G197" s="241"/>
      <c r="H197" s="242"/>
      <c r="I197" s="243"/>
      <c r="J197" s="239"/>
      <c r="K197" s="241"/>
      <c r="L197" s="52"/>
      <c r="M197" s="244"/>
      <c r="N197" s="245"/>
      <c r="O197" s="246"/>
      <c r="P197" s="247"/>
      <c r="Q197" s="248"/>
    </row>
    <row r="198" spans="1:17" ht="19.5" customHeight="1" x14ac:dyDescent="0.25">
      <c r="A198" s="237"/>
      <c r="B198" s="238"/>
      <c r="C198" s="239"/>
      <c r="D198" s="54"/>
      <c r="E198" s="20"/>
      <c r="F198" s="240"/>
      <c r="G198" s="241"/>
      <c r="H198" s="242"/>
      <c r="I198" s="243"/>
      <c r="J198" s="239"/>
      <c r="K198" s="241"/>
      <c r="L198" s="52"/>
      <c r="M198" s="244"/>
      <c r="N198" s="245"/>
      <c r="O198" s="246"/>
      <c r="P198" s="247"/>
      <c r="Q198" s="248"/>
    </row>
    <row r="199" spans="1:17" ht="19.5" customHeight="1" x14ac:dyDescent="0.25">
      <c r="A199" s="237"/>
      <c r="B199" s="238"/>
      <c r="C199" s="239"/>
      <c r="D199" s="54"/>
      <c r="E199" s="20"/>
      <c r="F199" s="240"/>
      <c r="G199" s="241"/>
      <c r="H199" s="242"/>
      <c r="I199" s="243"/>
      <c r="J199" s="239"/>
      <c r="K199" s="241"/>
      <c r="L199" s="52"/>
      <c r="M199" s="244"/>
      <c r="N199" s="245"/>
      <c r="O199" s="246"/>
      <c r="P199" s="247"/>
      <c r="Q199" s="248"/>
    </row>
    <row r="200" spans="1:17" ht="19.5" customHeight="1" x14ac:dyDescent="0.25">
      <c r="A200" s="237"/>
      <c r="B200" s="238"/>
      <c r="C200" s="239"/>
      <c r="D200" s="54"/>
      <c r="E200" s="20"/>
      <c r="F200" s="240"/>
      <c r="G200" s="241"/>
      <c r="H200" s="242"/>
      <c r="I200" s="243"/>
      <c r="J200" s="239"/>
      <c r="K200" s="241"/>
      <c r="L200" s="52"/>
      <c r="M200" s="244"/>
      <c r="N200" s="245"/>
      <c r="O200" s="246"/>
      <c r="P200" s="247"/>
      <c r="Q200" s="248"/>
    </row>
    <row r="201" spans="1:17" ht="19.5" customHeight="1" x14ac:dyDescent="0.25">
      <c r="A201" s="237"/>
      <c r="B201" s="238"/>
      <c r="C201" s="239"/>
      <c r="D201" s="54"/>
      <c r="E201" s="20"/>
      <c r="F201" s="240"/>
      <c r="G201" s="241"/>
      <c r="H201" s="242"/>
      <c r="I201" s="243"/>
      <c r="J201" s="239"/>
      <c r="K201" s="241"/>
      <c r="L201" s="52"/>
      <c r="M201" s="244"/>
      <c r="N201" s="245"/>
      <c r="O201" s="246"/>
      <c r="P201" s="247"/>
      <c r="Q201" s="248"/>
    </row>
    <row r="202" spans="1:17" ht="19.5" customHeight="1" x14ac:dyDescent="0.25">
      <c r="A202" s="237"/>
      <c r="B202" s="238"/>
      <c r="C202" s="239"/>
      <c r="D202" s="54"/>
      <c r="E202" s="20"/>
      <c r="F202" s="240"/>
      <c r="G202" s="241"/>
      <c r="H202" s="242"/>
      <c r="I202" s="243"/>
      <c r="J202" s="239"/>
      <c r="K202" s="241"/>
      <c r="L202" s="52"/>
      <c r="M202" s="244"/>
      <c r="N202" s="245"/>
      <c r="O202" s="246"/>
      <c r="P202" s="247"/>
      <c r="Q202" s="248"/>
    </row>
    <row r="203" spans="1:17" ht="19.5" customHeight="1" x14ac:dyDescent="0.25">
      <c r="A203" s="237"/>
      <c r="B203" s="238"/>
      <c r="C203" s="239"/>
      <c r="D203" s="54"/>
      <c r="E203" s="20"/>
      <c r="F203" s="240"/>
      <c r="G203" s="241"/>
      <c r="H203" s="242"/>
      <c r="I203" s="243"/>
      <c r="J203" s="239"/>
      <c r="K203" s="241"/>
      <c r="L203" s="52"/>
      <c r="M203" s="244"/>
      <c r="N203" s="245"/>
      <c r="O203" s="246"/>
      <c r="P203" s="247"/>
      <c r="Q203" s="248"/>
    </row>
    <row r="204" spans="1:17" ht="19.5" customHeight="1" x14ac:dyDescent="0.25">
      <c r="A204" s="237"/>
      <c r="B204" s="238"/>
      <c r="C204" s="239"/>
      <c r="D204" s="54"/>
      <c r="E204" s="20"/>
      <c r="F204" s="240"/>
      <c r="G204" s="241"/>
      <c r="H204" s="242"/>
      <c r="I204" s="243"/>
      <c r="J204" s="239"/>
      <c r="K204" s="241"/>
      <c r="L204" s="52"/>
      <c r="M204" s="244"/>
      <c r="N204" s="245"/>
      <c r="O204" s="246"/>
      <c r="P204" s="247"/>
      <c r="Q204" s="248"/>
    </row>
    <row r="205" spans="1:17" ht="19.5" customHeight="1" x14ac:dyDescent="0.25">
      <c r="A205" s="237"/>
      <c r="B205" s="238"/>
      <c r="C205" s="239"/>
      <c r="D205" s="54"/>
      <c r="E205" s="19"/>
      <c r="F205" s="240"/>
      <c r="G205" s="241"/>
      <c r="H205" s="242"/>
      <c r="I205" s="243"/>
      <c r="J205" s="239"/>
      <c r="K205" s="241"/>
      <c r="L205" s="52"/>
      <c r="M205" s="244"/>
      <c r="N205" s="245"/>
      <c r="O205" s="246"/>
      <c r="P205" s="247"/>
      <c r="Q205" s="248"/>
    </row>
    <row r="206" spans="1:17" ht="19.5" customHeight="1" x14ac:dyDescent="0.25">
      <c r="A206" s="237"/>
      <c r="B206" s="238"/>
      <c r="C206" s="239"/>
      <c r="D206" s="54"/>
      <c r="E206" s="19"/>
      <c r="F206" s="240"/>
      <c r="G206" s="241"/>
      <c r="H206" s="242"/>
      <c r="I206" s="243"/>
      <c r="J206" s="239"/>
      <c r="K206" s="241"/>
      <c r="L206" s="52"/>
      <c r="M206" s="244"/>
      <c r="N206" s="245"/>
      <c r="O206" s="246"/>
      <c r="P206" s="247"/>
      <c r="Q206" s="248"/>
    </row>
    <row r="207" spans="1:17" ht="19.5" customHeight="1" x14ac:dyDescent="0.25">
      <c r="A207" s="237"/>
      <c r="B207" s="238"/>
      <c r="C207" s="239"/>
      <c r="D207" s="54"/>
      <c r="E207" s="19"/>
      <c r="F207" s="240"/>
      <c r="G207" s="241"/>
      <c r="H207" s="242"/>
      <c r="I207" s="243"/>
      <c r="J207" s="239"/>
      <c r="K207" s="241"/>
      <c r="L207" s="52"/>
      <c r="M207" s="244"/>
      <c r="N207" s="245"/>
      <c r="O207" s="246"/>
      <c r="P207" s="247"/>
      <c r="Q207" s="248"/>
    </row>
    <row r="208" spans="1:17" ht="19.5" customHeight="1" x14ac:dyDescent="0.25">
      <c r="A208" s="237"/>
      <c r="B208" s="238"/>
      <c r="C208" s="239"/>
      <c r="D208" s="54"/>
      <c r="E208" s="20"/>
      <c r="F208" s="240"/>
      <c r="G208" s="241"/>
      <c r="H208" s="242"/>
      <c r="I208" s="243"/>
      <c r="J208" s="239"/>
      <c r="K208" s="241"/>
      <c r="L208" s="52"/>
      <c r="M208" s="244"/>
      <c r="N208" s="245"/>
      <c r="O208" s="246"/>
      <c r="P208" s="247"/>
      <c r="Q208" s="248"/>
    </row>
    <row r="209" spans="1:17" ht="19.5" customHeight="1" x14ac:dyDescent="0.25">
      <c r="A209" s="237"/>
      <c r="B209" s="238"/>
      <c r="C209" s="239"/>
      <c r="D209" s="54"/>
      <c r="E209" s="20"/>
      <c r="F209" s="240"/>
      <c r="G209" s="241"/>
      <c r="H209" s="242"/>
      <c r="I209" s="243"/>
      <c r="J209" s="239"/>
      <c r="K209" s="241"/>
      <c r="L209" s="52"/>
      <c r="M209" s="244"/>
      <c r="N209" s="245"/>
      <c r="O209" s="246"/>
      <c r="P209" s="247"/>
      <c r="Q209" s="248"/>
    </row>
    <row r="210" spans="1:17" ht="19.5" customHeight="1" x14ac:dyDescent="0.25">
      <c r="A210" s="237"/>
      <c r="B210" s="238"/>
      <c r="C210" s="239"/>
      <c r="D210" s="54"/>
      <c r="E210" s="20"/>
      <c r="F210" s="240"/>
      <c r="G210" s="241"/>
      <c r="H210" s="242"/>
      <c r="I210" s="243"/>
      <c r="J210" s="239"/>
      <c r="K210" s="241"/>
      <c r="L210" s="52"/>
      <c r="M210" s="244"/>
      <c r="N210" s="245"/>
      <c r="O210" s="246"/>
      <c r="P210" s="247"/>
      <c r="Q210" s="248"/>
    </row>
    <row r="211" spans="1:17" ht="19.5" customHeight="1" x14ac:dyDescent="0.25">
      <c r="A211" s="149"/>
      <c r="B211" s="150"/>
      <c r="C211" s="151"/>
      <c r="D211" s="152"/>
      <c r="E211" s="179"/>
      <c r="F211" s="154"/>
      <c r="G211" s="155"/>
      <c r="H211" s="156"/>
      <c r="I211" s="157"/>
      <c r="J211" s="151"/>
      <c r="K211" s="155"/>
      <c r="L211" s="158"/>
      <c r="M211" s="159"/>
      <c r="N211" s="160"/>
      <c r="O211" s="161"/>
      <c r="P211" s="162"/>
      <c r="Q211" s="163"/>
    </row>
    <row r="212" spans="1:17" ht="19.5" customHeight="1" x14ac:dyDescent="0.25">
      <c r="A212" s="149"/>
      <c r="B212" s="150"/>
      <c r="C212" s="151"/>
      <c r="D212" s="152"/>
      <c r="E212" s="179"/>
      <c r="F212" s="154"/>
      <c r="G212" s="155"/>
      <c r="H212" s="156"/>
      <c r="I212" s="157"/>
      <c r="J212" s="151"/>
      <c r="K212" s="155"/>
      <c r="L212" s="158"/>
      <c r="M212" s="159"/>
      <c r="N212" s="160"/>
      <c r="O212" s="161"/>
      <c r="P212" s="162"/>
      <c r="Q212" s="163"/>
    </row>
    <row r="213" spans="1:17" ht="19.5" customHeight="1" x14ac:dyDescent="0.25">
      <c r="A213" s="237"/>
      <c r="B213" s="238"/>
      <c r="C213" s="239"/>
      <c r="D213" s="54"/>
      <c r="E213" s="20"/>
      <c r="F213" s="240"/>
      <c r="G213" s="241"/>
      <c r="H213" s="242"/>
      <c r="I213" s="243"/>
      <c r="J213" s="239"/>
      <c r="K213" s="241"/>
      <c r="L213" s="52"/>
      <c r="M213" s="244"/>
      <c r="N213" s="245"/>
      <c r="O213" s="246"/>
      <c r="P213" s="247"/>
      <c r="Q213" s="248"/>
    </row>
    <row r="214" spans="1:17" ht="19.5" customHeight="1" x14ac:dyDescent="0.25">
      <c r="A214" s="237"/>
      <c r="B214" s="238"/>
      <c r="C214" s="239"/>
      <c r="D214" s="54"/>
      <c r="E214" s="20"/>
      <c r="F214" s="240"/>
      <c r="G214" s="241"/>
      <c r="H214" s="242"/>
      <c r="I214" s="243"/>
      <c r="J214" s="239"/>
      <c r="K214" s="241"/>
      <c r="L214" s="52"/>
      <c r="M214" s="244"/>
      <c r="N214" s="245"/>
      <c r="O214" s="246"/>
      <c r="P214" s="247"/>
      <c r="Q214" s="248"/>
    </row>
    <row r="215" spans="1:17" ht="19.5" customHeight="1" x14ac:dyDescent="0.25">
      <c r="A215" s="237"/>
      <c r="B215" s="238"/>
      <c r="C215" s="239"/>
      <c r="D215" s="54"/>
      <c r="E215" s="20"/>
      <c r="F215" s="240"/>
      <c r="G215" s="241"/>
      <c r="H215" s="242"/>
      <c r="I215" s="243"/>
      <c r="J215" s="239"/>
      <c r="K215" s="241"/>
      <c r="L215" s="52"/>
      <c r="M215" s="244"/>
      <c r="N215" s="245"/>
      <c r="O215" s="246"/>
      <c r="P215" s="247"/>
      <c r="Q215" s="248"/>
    </row>
    <row r="216" spans="1:17" ht="19.5" customHeight="1" x14ac:dyDescent="0.25">
      <c r="A216" s="237"/>
      <c r="B216" s="238"/>
      <c r="C216" s="239"/>
      <c r="D216" s="54"/>
      <c r="E216" s="20"/>
      <c r="F216" s="240"/>
      <c r="G216" s="241"/>
      <c r="H216" s="242"/>
      <c r="I216" s="243"/>
      <c r="J216" s="239"/>
      <c r="K216" s="241"/>
      <c r="L216" s="52"/>
      <c r="M216" s="244"/>
      <c r="N216" s="245"/>
      <c r="O216" s="246"/>
      <c r="P216" s="247"/>
      <c r="Q216" s="248"/>
    </row>
    <row r="217" spans="1:17" ht="19.5" customHeight="1" x14ac:dyDescent="0.25">
      <c r="A217" s="149"/>
      <c r="B217" s="150"/>
      <c r="C217" s="151"/>
      <c r="D217" s="152"/>
      <c r="E217" s="153"/>
      <c r="F217" s="154"/>
      <c r="G217" s="155"/>
      <c r="H217" s="156"/>
      <c r="I217" s="157"/>
      <c r="J217" s="151"/>
      <c r="K217" s="155"/>
      <c r="L217" s="158"/>
      <c r="M217" s="159"/>
      <c r="N217" s="160"/>
      <c r="O217" s="161"/>
      <c r="P217" s="162"/>
      <c r="Q217" s="163"/>
    </row>
    <row r="218" spans="1:17" ht="19.5" customHeight="1" x14ac:dyDescent="0.25">
      <c r="A218" s="237"/>
      <c r="B218" s="238"/>
      <c r="C218" s="239"/>
      <c r="D218" s="54"/>
      <c r="E218" s="19"/>
      <c r="F218" s="240"/>
      <c r="G218" s="241"/>
      <c r="H218" s="242"/>
      <c r="I218" s="243"/>
      <c r="J218" s="239"/>
      <c r="K218" s="241"/>
      <c r="L218" s="52"/>
      <c r="M218" s="244"/>
      <c r="N218" s="245"/>
      <c r="O218" s="246"/>
      <c r="P218" s="247"/>
      <c r="Q218" s="248"/>
    </row>
    <row r="219" spans="1:17" ht="19.5" customHeight="1" x14ac:dyDescent="0.25">
      <c r="A219" s="237"/>
      <c r="B219" s="238"/>
      <c r="C219" s="239"/>
      <c r="D219" s="54"/>
      <c r="E219" s="20"/>
      <c r="F219" s="240"/>
      <c r="G219" s="241"/>
      <c r="H219" s="242"/>
      <c r="I219" s="243"/>
      <c r="J219" s="239"/>
      <c r="K219" s="241"/>
      <c r="L219" s="52"/>
      <c r="M219" s="244"/>
      <c r="N219" s="245"/>
      <c r="O219" s="246"/>
      <c r="P219" s="247"/>
      <c r="Q219" s="248"/>
    </row>
    <row r="220" spans="1:17" ht="19.5" customHeight="1" x14ac:dyDescent="0.25">
      <c r="A220" s="237"/>
      <c r="B220" s="238"/>
      <c r="C220" s="239"/>
      <c r="D220" s="54"/>
      <c r="E220" s="20"/>
      <c r="F220" s="240"/>
      <c r="G220" s="241"/>
      <c r="H220" s="242"/>
      <c r="I220" s="243"/>
      <c r="J220" s="239"/>
      <c r="K220" s="241"/>
      <c r="L220" s="52"/>
      <c r="M220" s="244"/>
      <c r="N220" s="245"/>
      <c r="O220" s="246"/>
      <c r="P220" s="247"/>
      <c r="Q220" s="248"/>
    </row>
    <row r="221" spans="1:17" ht="19.5" customHeight="1" x14ac:dyDescent="0.25">
      <c r="A221" s="237"/>
      <c r="B221" s="238"/>
      <c r="C221" s="239"/>
      <c r="D221" s="54"/>
      <c r="E221" s="19"/>
      <c r="F221" s="240"/>
      <c r="G221" s="241"/>
      <c r="H221" s="242"/>
      <c r="I221" s="243"/>
      <c r="J221" s="239"/>
      <c r="K221" s="241"/>
      <c r="L221" s="52"/>
      <c r="M221" s="244"/>
      <c r="N221" s="245"/>
      <c r="O221" s="246"/>
      <c r="P221" s="247"/>
      <c r="Q221" s="248"/>
    </row>
    <row r="222" spans="1:17" ht="19.5" customHeight="1" x14ac:dyDescent="0.25">
      <c r="A222" s="237"/>
      <c r="B222" s="238"/>
      <c r="C222" s="239"/>
      <c r="D222" s="54"/>
      <c r="E222" s="19"/>
      <c r="F222" s="240"/>
      <c r="G222" s="241"/>
      <c r="H222" s="242"/>
      <c r="I222" s="243"/>
      <c r="J222" s="239"/>
      <c r="K222" s="241"/>
      <c r="L222" s="52"/>
      <c r="M222" s="244"/>
      <c r="N222" s="245"/>
      <c r="O222" s="246"/>
      <c r="P222" s="247"/>
      <c r="Q222" s="248"/>
    </row>
    <row r="223" spans="1:17" ht="19.5" customHeight="1" x14ac:dyDescent="0.25">
      <c r="A223" s="237"/>
      <c r="B223" s="238"/>
      <c r="C223" s="239"/>
      <c r="D223" s="54"/>
      <c r="E223" s="20"/>
      <c r="F223" s="240"/>
      <c r="G223" s="241"/>
      <c r="H223" s="242"/>
      <c r="I223" s="243"/>
      <c r="J223" s="239"/>
      <c r="K223" s="241"/>
      <c r="L223" s="52"/>
      <c r="M223" s="244"/>
      <c r="N223" s="245"/>
      <c r="O223" s="246"/>
      <c r="P223" s="247"/>
      <c r="Q223" s="248"/>
    </row>
    <row r="224" spans="1:17" ht="19.5" customHeight="1" x14ac:dyDescent="0.25">
      <c r="A224" s="237"/>
      <c r="B224" s="238"/>
      <c r="C224" s="239"/>
      <c r="D224" s="54"/>
      <c r="E224" s="20"/>
      <c r="F224" s="240"/>
      <c r="G224" s="241"/>
      <c r="H224" s="242"/>
      <c r="I224" s="243"/>
      <c r="J224" s="239"/>
      <c r="K224" s="241"/>
      <c r="L224" s="52"/>
      <c r="M224" s="244"/>
      <c r="N224" s="245"/>
      <c r="O224" s="246"/>
      <c r="P224" s="247"/>
      <c r="Q224" s="248"/>
    </row>
    <row r="225" spans="1:17" ht="19.5" customHeight="1" x14ac:dyDescent="0.25">
      <c r="A225" s="237"/>
      <c r="B225" s="238"/>
      <c r="C225" s="239"/>
      <c r="D225" s="54"/>
      <c r="E225" s="19"/>
      <c r="F225" s="240"/>
      <c r="G225" s="241"/>
      <c r="H225" s="242"/>
      <c r="I225" s="243"/>
      <c r="J225" s="239"/>
      <c r="K225" s="241"/>
      <c r="L225" s="52"/>
      <c r="M225" s="244"/>
      <c r="N225" s="245"/>
      <c r="O225" s="246"/>
      <c r="P225" s="247"/>
      <c r="Q225" s="248"/>
    </row>
    <row r="226" spans="1:17" ht="19.5" customHeight="1" x14ac:dyDescent="0.25">
      <c r="A226" s="237"/>
      <c r="B226" s="238"/>
      <c r="C226" s="239"/>
      <c r="D226" s="54"/>
      <c r="E226" s="19"/>
      <c r="F226" s="240"/>
      <c r="G226" s="241"/>
      <c r="H226" s="242"/>
      <c r="I226" s="243"/>
      <c r="J226" s="239"/>
      <c r="K226" s="241"/>
      <c r="L226" s="52"/>
      <c r="M226" s="244"/>
      <c r="N226" s="245"/>
      <c r="O226" s="246"/>
      <c r="P226" s="247"/>
      <c r="Q226" s="248"/>
    </row>
    <row r="227" spans="1:17" ht="19.5" customHeight="1" x14ac:dyDescent="0.25">
      <c r="A227" s="237"/>
      <c r="B227" s="238"/>
      <c r="C227" s="239"/>
      <c r="D227" s="54"/>
      <c r="E227" s="20"/>
      <c r="F227" s="240"/>
      <c r="G227" s="241"/>
      <c r="H227" s="242"/>
      <c r="I227" s="243"/>
      <c r="J227" s="239"/>
      <c r="K227" s="241"/>
      <c r="L227" s="52"/>
      <c r="M227" s="244"/>
      <c r="N227" s="245"/>
      <c r="O227" s="246"/>
      <c r="P227" s="247"/>
      <c r="Q227" s="248"/>
    </row>
    <row r="228" spans="1:17" ht="19.5" customHeight="1" x14ac:dyDescent="0.25">
      <c r="A228" s="237"/>
      <c r="B228" s="238"/>
      <c r="C228" s="239"/>
      <c r="D228" s="54"/>
      <c r="E228" s="20"/>
      <c r="F228" s="240"/>
      <c r="G228" s="241"/>
      <c r="H228" s="242"/>
      <c r="I228" s="243"/>
      <c r="J228" s="239"/>
      <c r="K228" s="241"/>
      <c r="L228" s="52"/>
      <c r="M228" s="244"/>
      <c r="N228" s="245"/>
      <c r="O228" s="246"/>
      <c r="P228" s="247"/>
      <c r="Q228" s="248"/>
    </row>
    <row r="229" spans="1:17" ht="19.5" customHeight="1" x14ac:dyDescent="0.25">
      <c r="A229" s="237"/>
      <c r="B229" s="238"/>
      <c r="C229" s="239"/>
      <c r="D229" s="54"/>
      <c r="E229" s="19"/>
      <c r="F229" s="240"/>
      <c r="G229" s="241"/>
      <c r="H229" s="242"/>
      <c r="I229" s="243"/>
      <c r="J229" s="239"/>
      <c r="K229" s="241"/>
      <c r="L229" s="52"/>
      <c r="M229" s="244"/>
      <c r="N229" s="245"/>
      <c r="O229" s="246"/>
      <c r="P229" s="247"/>
      <c r="Q229" s="248"/>
    </row>
    <row r="230" spans="1:17" ht="19.5" customHeight="1" x14ac:dyDescent="0.25">
      <c r="A230" s="237"/>
      <c r="B230" s="238"/>
      <c r="C230" s="239"/>
      <c r="D230" s="54"/>
      <c r="E230" s="20"/>
      <c r="F230" s="240"/>
      <c r="G230" s="241"/>
      <c r="H230" s="242"/>
      <c r="I230" s="243"/>
      <c r="J230" s="239"/>
      <c r="K230" s="241"/>
      <c r="L230" s="52"/>
      <c r="M230" s="244"/>
      <c r="N230" s="245"/>
      <c r="O230" s="246"/>
      <c r="P230" s="247"/>
      <c r="Q230" s="248"/>
    </row>
    <row r="231" spans="1:17" ht="19.5" customHeight="1" x14ac:dyDescent="0.25">
      <c r="A231" s="237"/>
      <c r="B231" s="238"/>
      <c r="C231" s="239"/>
      <c r="D231" s="54"/>
      <c r="E231" s="20"/>
      <c r="F231" s="240"/>
      <c r="G231" s="241"/>
      <c r="H231" s="242"/>
      <c r="I231" s="243"/>
      <c r="J231" s="239"/>
      <c r="K231" s="241"/>
      <c r="L231" s="52"/>
      <c r="M231" s="244"/>
      <c r="N231" s="245"/>
      <c r="O231" s="246"/>
      <c r="P231" s="247"/>
      <c r="Q231" s="248"/>
    </row>
    <row r="232" spans="1:17" ht="19.5" customHeight="1" x14ac:dyDescent="0.25">
      <c r="A232" s="237"/>
      <c r="B232" s="238"/>
      <c r="C232" s="239"/>
      <c r="D232" s="54"/>
      <c r="E232" s="20"/>
      <c r="F232" s="240"/>
      <c r="G232" s="241"/>
      <c r="H232" s="242"/>
      <c r="I232" s="243"/>
      <c r="J232" s="239"/>
      <c r="K232" s="241"/>
      <c r="L232" s="52"/>
      <c r="M232" s="244"/>
      <c r="N232" s="245"/>
      <c r="O232" s="246"/>
      <c r="P232" s="247"/>
      <c r="Q232" s="248"/>
    </row>
    <row r="233" spans="1:17" ht="19.5" customHeight="1" x14ac:dyDescent="0.25">
      <c r="A233" s="237"/>
      <c r="B233" s="238"/>
      <c r="C233" s="239"/>
      <c r="D233" s="54"/>
      <c r="E233" s="19"/>
      <c r="F233" s="240"/>
      <c r="G233" s="241"/>
      <c r="H233" s="242"/>
      <c r="I233" s="243"/>
      <c r="J233" s="239"/>
      <c r="K233" s="241"/>
      <c r="L233" s="52"/>
      <c r="M233" s="244"/>
      <c r="N233" s="245"/>
      <c r="O233" s="246"/>
      <c r="P233" s="247"/>
      <c r="Q233" s="248"/>
    </row>
    <row r="234" spans="1:17" ht="19.5" customHeight="1" x14ac:dyDescent="0.25">
      <c r="A234" s="237"/>
      <c r="B234" s="238"/>
      <c r="C234" s="239"/>
      <c r="D234" s="54"/>
      <c r="E234" s="19"/>
      <c r="F234" s="240"/>
      <c r="G234" s="241"/>
      <c r="H234" s="242"/>
      <c r="I234" s="243"/>
      <c r="J234" s="239"/>
      <c r="K234" s="241"/>
      <c r="L234" s="52"/>
      <c r="M234" s="244"/>
      <c r="N234" s="245"/>
      <c r="O234" s="246"/>
      <c r="P234" s="247"/>
      <c r="Q234" s="248"/>
    </row>
    <row r="235" spans="1:17" ht="19.5" customHeight="1" x14ac:dyDescent="0.25">
      <c r="A235" s="237"/>
      <c r="B235" s="238"/>
      <c r="C235" s="239"/>
      <c r="D235" s="54"/>
      <c r="E235" s="19"/>
      <c r="F235" s="240"/>
      <c r="G235" s="241"/>
      <c r="H235" s="242"/>
      <c r="I235" s="243"/>
      <c r="J235" s="239"/>
      <c r="K235" s="241"/>
      <c r="L235" s="52"/>
      <c r="M235" s="244"/>
      <c r="N235" s="245"/>
      <c r="O235" s="246"/>
      <c r="P235" s="247"/>
      <c r="Q235" s="248"/>
    </row>
    <row r="236" spans="1:17" ht="19.5" customHeight="1" x14ac:dyDescent="0.25">
      <c r="A236" s="237"/>
      <c r="B236" s="238"/>
      <c r="C236" s="239"/>
      <c r="D236" s="54"/>
      <c r="E236" s="20"/>
      <c r="F236" s="240"/>
      <c r="G236" s="241"/>
      <c r="H236" s="242"/>
      <c r="I236" s="243"/>
      <c r="J236" s="239"/>
      <c r="K236" s="241"/>
      <c r="L236" s="52"/>
      <c r="M236" s="244"/>
      <c r="N236" s="245"/>
      <c r="O236" s="246"/>
      <c r="P236" s="247"/>
      <c r="Q236" s="248"/>
    </row>
    <row r="237" spans="1:17" ht="19.5" customHeight="1" x14ac:dyDescent="0.25">
      <c r="A237" s="237"/>
      <c r="B237" s="238"/>
      <c r="C237" s="239"/>
      <c r="D237" s="54"/>
      <c r="E237" s="20"/>
      <c r="F237" s="240"/>
      <c r="G237" s="241"/>
      <c r="H237" s="242"/>
      <c r="I237" s="243"/>
      <c r="J237" s="239"/>
      <c r="K237" s="241"/>
      <c r="L237" s="52"/>
      <c r="M237" s="244"/>
      <c r="N237" s="245"/>
      <c r="O237" s="246"/>
      <c r="P237" s="247"/>
      <c r="Q237" s="248"/>
    </row>
    <row r="238" spans="1:17" ht="19.5" customHeight="1" x14ac:dyDescent="0.25">
      <c r="A238" s="237"/>
      <c r="B238" s="238"/>
      <c r="C238" s="239"/>
      <c r="D238" s="54"/>
      <c r="E238" s="19"/>
      <c r="F238" s="240"/>
      <c r="G238" s="241"/>
      <c r="H238" s="242"/>
      <c r="I238" s="243"/>
      <c r="J238" s="239"/>
      <c r="K238" s="241"/>
      <c r="L238" s="52"/>
      <c r="M238" s="244"/>
      <c r="N238" s="245"/>
      <c r="O238" s="246"/>
      <c r="P238" s="247"/>
      <c r="Q238" s="248"/>
    </row>
    <row r="239" spans="1:17" ht="19.5" customHeight="1" x14ac:dyDescent="0.25">
      <c r="A239" s="237"/>
      <c r="B239" s="238"/>
      <c r="C239" s="239"/>
      <c r="D239" s="54"/>
      <c r="E239" s="19"/>
      <c r="F239" s="240"/>
      <c r="G239" s="241"/>
      <c r="H239" s="242"/>
      <c r="I239" s="243"/>
      <c r="J239" s="239"/>
      <c r="K239" s="241"/>
      <c r="L239" s="52"/>
      <c r="M239" s="244"/>
      <c r="N239" s="245"/>
      <c r="O239" s="246"/>
      <c r="P239" s="247"/>
      <c r="Q239" s="248"/>
    </row>
    <row r="240" spans="1:17" ht="19.5" customHeight="1" x14ac:dyDescent="0.25">
      <c r="A240" s="237"/>
      <c r="B240" s="238"/>
      <c r="C240" s="239"/>
      <c r="D240" s="54"/>
      <c r="E240" s="20"/>
      <c r="F240" s="240"/>
      <c r="G240" s="241"/>
      <c r="H240" s="242"/>
      <c r="I240" s="243"/>
      <c r="J240" s="239"/>
      <c r="K240" s="241"/>
      <c r="L240" s="52"/>
      <c r="M240" s="244"/>
      <c r="N240" s="245"/>
      <c r="O240" s="246"/>
      <c r="P240" s="247"/>
      <c r="Q240" s="248"/>
    </row>
    <row r="241" spans="1:17" ht="19.5" customHeight="1" x14ac:dyDescent="0.25">
      <c r="A241" s="237"/>
      <c r="B241" s="238"/>
      <c r="C241" s="239"/>
      <c r="D241" s="54"/>
      <c r="E241" s="20"/>
      <c r="F241" s="240"/>
      <c r="G241" s="241"/>
      <c r="H241" s="242"/>
      <c r="I241" s="243"/>
      <c r="J241" s="239"/>
      <c r="K241" s="241"/>
      <c r="L241" s="52"/>
      <c r="M241" s="244"/>
      <c r="N241" s="245"/>
      <c r="O241" s="246"/>
      <c r="P241" s="247"/>
      <c r="Q241" s="248"/>
    </row>
    <row r="242" spans="1:17" ht="19.5" customHeight="1" x14ac:dyDescent="0.25">
      <c r="A242" s="237"/>
      <c r="B242" s="238"/>
      <c r="C242" s="239"/>
      <c r="D242" s="54"/>
      <c r="E242" s="19"/>
      <c r="F242" s="240"/>
      <c r="G242" s="241"/>
      <c r="H242" s="242"/>
      <c r="I242" s="243"/>
      <c r="J242" s="239"/>
      <c r="K242" s="241"/>
      <c r="L242" s="52"/>
      <c r="M242" s="244"/>
      <c r="N242" s="245"/>
      <c r="O242" s="246"/>
      <c r="P242" s="247"/>
      <c r="Q242" s="248"/>
    </row>
    <row r="243" spans="1:17" ht="19.5" customHeight="1" x14ac:dyDescent="0.25">
      <c r="A243" s="237"/>
      <c r="B243" s="238"/>
      <c r="C243" s="239"/>
      <c r="D243" s="54"/>
      <c r="E243" s="19"/>
      <c r="F243" s="240"/>
      <c r="G243" s="241"/>
      <c r="H243" s="242"/>
      <c r="I243" s="243"/>
      <c r="J243" s="239"/>
      <c r="K243" s="241"/>
      <c r="L243" s="52"/>
      <c r="M243" s="244"/>
      <c r="N243" s="245"/>
      <c r="O243" s="246"/>
      <c r="P243" s="247"/>
      <c r="Q243" s="248"/>
    </row>
    <row r="244" spans="1:17" ht="19.5" customHeight="1" x14ac:dyDescent="0.25">
      <c r="A244" s="237"/>
      <c r="B244" s="238"/>
      <c r="C244" s="239"/>
      <c r="D244" s="54"/>
      <c r="E244" s="20"/>
      <c r="F244" s="240"/>
      <c r="G244" s="241"/>
      <c r="H244" s="242"/>
      <c r="I244" s="243"/>
      <c r="J244" s="239"/>
      <c r="K244" s="241"/>
      <c r="L244" s="52"/>
      <c r="M244" s="244"/>
      <c r="N244" s="245"/>
      <c r="O244" s="246"/>
      <c r="P244" s="247"/>
      <c r="Q244" s="248"/>
    </row>
    <row r="245" spans="1:17" ht="19.5" customHeight="1" x14ac:dyDescent="0.25">
      <c r="A245" s="237"/>
      <c r="B245" s="238"/>
      <c r="C245" s="239"/>
      <c r="D245" s="54"/>
      <c r="E245" s="19"/>
      <c r="F245" s="240"/>
      <c r="G245" s="241"/>
      <c r="H245" s="242"/>
      <c r="I245" s="243"/>
      <c r="J245" s="239"/>
      <c r="K245" s="241"/>
      <c r="L245" s="52"/>
      <c r="M245" s="244"/>
      <c r="N245" s="245"/>
      <c r="O245" s="246"/>
      <c r="P245" s="247"/>
      <c r="Q245" s="248"/>
    </row>
    <row r="246" spans="1:17" ht="19.5" customHeight="1" x14ac:dyDescent="0.25">
      <c r="A246" s="237"/>
      <c r="B246" s="238"/>
      <c r="C246" s="239"/>
      <c r="D246" s="54"/>
      <c r="E246" s="20"/>
      <c r="F246" s="240"/>
      <c r="G246" s="241"/>
      <c r="H246" s="242"/>
      <c r="I246" s="243"/>
      <c r="J246" s="239"/>
      <c r="K246" s="241"/>
      <c r="L246" s="52"/>
      <c r="M246" s="244"/>
      <c r="N246" s="245"/>
      <c r="O246" s="246"/>
      <c r="P246" s="247"/>
      <c r="Q246" s="248"/>
    </row>
    <row r="247" spans="1:17" ht="19.5" customHeight="1" x14ac:dyDescent="0.25">
      <c r="A247" s="237"/>
      <c r="B247" s="238"/>
      <c r="C247" s="239"/>
      <c r="D247" s="54"/>
      <c r="E247" s="19"/>
      <c r="F247" s="240"/>
      <c r="G247" s="241"/>
      <c r="H247" s="242"/>
      <c r="I247" s="243"/>
      <c r="J247" s="239"/>
      <c r="K247" s="241"/>
      <c r="L247" s="52"/>
      <c r="M247" s="244"/>
      <c r="N247" s="245"/>
      <c r="O247" s="246"/>
      <c r="P247" s="247"/>
      <c r="Q247" s="248"/>
    </row>
    <row r="248" spans="1:17" ht="19.5" customHeight="1" x14ac:dyDescent="0.25">
      <c r="A248" s="237"/>
      <c r="B248" s="238"/>
      <c r="C248" s="239"/>
      <c r="D248" s="54"/>
      <c r="E248" s="20"/>
      <c r="F248" s="240"/>
      <c r="G248" s="241"/>
      <c r="H248" s="242"/>
      <c r="I248" s="243"/>
      <c r="J248" s="239"/>
      <c r="K248" s="241"/>
      <c r="L248" s="52"/>
      <c r="M248" s="244"/>
      <c r="N248" s="245"/>
      <c r="O248" s="246"/>
      <c r="P248" s="247"/>
      <c r="Q248" s="248"/>
    </row>
    <row r="249" spans="1:17" ht="19.5" customHeight="1" x14ac:dyDescent="0.25">
      <c r="A249" s="237"/>
      <c r="B249" s="238"/>
      <c r="C249" s="239"/>
      <c r="D249" s="54"/>
      <c r="E249" s="20"/>
      <c r="F249" s="240"/>
      <c r="G249" s="241"/>
      <c r="H249" s="242"/>
      <c r="I249" s="243"/>
      <c r="J249" s="239"/>
      <c r="K249" s="241"/>
      <c r="L249" s="52"/>
      <c r="M249" s="244"/>
      <c r="N249" s="245"/>
      <c r="O249" s="246"/>
      <c r="P249" s="247"/>
      <c r="Q249" s="248"/>
    </row>
    <row r="250" spans="1:17" ht="19.5" customHeight="1" x14ac:dyDescent="0.25">
      <c r="A250" s="237"/>
      <c r="B250" s="238"/>
      <c r="C250" s="239"/>
      <c r="D250" s="54"/>
      <c r="E250" s="20"/>
      <c r="F250" s="240"/>
      <c r="G250" s="241"/>
      <c r="H250" s="242"/>
      <c r="I250" s="243"/>
      <c r="J250" s="239"/>
      <c r="K250" s="241"/>
      <c r="L250" s="52"/>
      <c r="M250" s="244"/>
      <c r="N250" s="245"/>
      <c r="O250" s="246"/>
      <c r="P250" s="247"/>
      <c r="Q250" s="248"/>
    </row>
    <row r="251" spans="1:17" ht="19.5" customHeight="1" x14ac:dyDescent="0.25">
      <c r="A251" s="237"/>
      <c r="B251" s="238"/>
      <c r="C251" s="239"/>
      <c r="D251" s="54"/>
      <c r="E251" s="19"/>
      <c r="F251" s="240"/>
      <c r="G251" s="241"/>
      <c r="H251" s="242"/>
      <c r="I251" s="243"/>
      <c r="J251" s="239"/>
      <c r="K251" s="241"/>
      <c r="L251" s="52"/>
      <c r="M251" s="244"/>
      <c r="N251" s="245"/>
      <c r="O251" s="246"/>
      <c r="P251" s="247"/>
      <c r="Q251" s="248"/>
    </row>
    <row r="252" spans="1:17" ht="19.5" customHeight="1" x14ac:dyDescent="0.25">
      <c r="A252" s="237"/>
      <c r="B252" s="238"/>
      <c r="C252" s="239"/>
      <c r="D252" s="54"/>
      <c r="E252" s="20"/>
      <c r="F252" s="240"/>
      <c r="G252" s="241"/>
      <c r="H252" s="242"/>
      <c r="I252" s="243"/>
      <c r="J252" s="239"/>
      <c r="K252" s="241"/>
      <c r="L252" s="52"/>
      <c r="M252" s="244"/>
      <c r="N252" s="245"/>
      <c r="O252" s="246"/>
      <c r="P252" s="247"/>
      <c r="Q252" s="248"/>
    </row>
    <row r="253" spans="1:17" ht="19.5" customHeight="1" x14ac:dyDescent="0.25">
      <c r="A253" s="237"/>
      <c r="B253" s="238"/>
      <c r="C253" s="239"/>
      <c r="D253" s="54"/>
      <c r="E253" s="20"/>
      <c r="F253" s="240"/>
      <c r="G253" s="241"/>
      <c r="H253" s="242"/>
      <c r="I253" s="243"/>
      <c r="J253" s="239"/>
      <c r="K253" s="241"/>
      <c r="L253" s="52"/>
      <c r="M253" s="244"/>
      <c r="N253" s="245"/>
      <c r="O253" s="246"/>
      <c r="P253" s="247"/>
      <c r="Q253" s="248"/>
    </row>
    <row r="254" spans="1:17" ht="19.5" customHeight="1" x14ac:dyDescent="0.25">
      <c r="A254" s="237"/>
      <c r="B254" s="238"/>
      <c r="C254" s="239"/>
      <c r="D254" s="54"/>
      <c r="E254" s="20"/>
      <c r="F254" s="240"/>
      <c r="G254" s="241"/>
      <c r="H254" s="242"/>
      <c r="I254" s="243"/>
      <c r="J254" s="239"/>
      <c r="K254" s="241"/>
      <c r="L254" s="52"/>
      <c r="M254" s="244"/>
      <c r="N254" s="245"/>
      <c r="O254" s="246"/>
      <c r="P254" s="247"/>
      <c r="Q254" s="248"/>
    </row>
    <row r="255" spans="1:17" ht="19.5" customHeight="1" x14ac:dyDescent="0.25">
      <c r="A255" s="237"/>
      <c r="B255" s="238"/>
      <c r="C255" s="239"/>
      <c r="D255" s="54"/>
      <c r="E255" s="19"/>
      <c r="F255" s="240"/>
      <c r="G255" s="241"/>
      <c r="H255" s="242"/>
      <c r="I255" s="243"/>
      <c r="J255" s="239"/>
      <c r="K255" s="241"/>
      <c r="L255" s="52"/>
      <c r="M255" s="244"/>
      <c r="N255" s="245"/>
      <c r="O255" s="246"/>
      <c r="P255" s="247"/>
      <c r="Q255" s="248"/>
    </row>
    <row r="256" spans="1:17" ht="19.5" customHeight="1" x14ac:dyDescent="0.25">
      <c r="A256" s="237"/>
      <c r="B256" s="238"/>
      <c r="C256" s="239"/>
      <c r="D256" s="54"/>
      <c r="E256" s="20"/>
      <c r="F256" s="240"/>
      <c r="G256" s="241"/>
      <c r="H256" s="242"/>
      <c r="I256" s="243"/>
      <c r="J256" s="239"/>
      <c r="K256" s="241"/>
      <c r="L256" s="52"/>
      <c r="M256" s="244"/>
      <c r="N256" s="245"/>
      <c r="O256" s="246"/>
      <c r="P256" s="247"/>
      <c r="Q256" s="248"/>
    </row>
    <row r="257" spans="1:17" ht="19.5" customHeight="1" x14ac:dyDescent="0.25">
      <c r="A257" s="237"/>
      <c r="B257" s="238"/>
      <c r="C257" s="239"/>
      <c r="D257" s="54"/>
      <c r="E257" s="19"/>
      <c r="F257" s="240"/>
      <c r="G257" s="241"/>
      <c r="H257" s="242"/>
      <c r="I257" s="243"/>
      <c r="J257" s="239"/>
      <c r="K257" s="241"/>
      <c r="L257" s="52"/>
      <c r="M257" s="244"/>
      <c r="N257" s="245"/>
      <c r="O257" s="246"/>
      <c r="P257" s="247"/>
      <c r="Q257" s="248"/>
    </row>
    <row r="258" spans="1:17" ht="19.5" customHeight="1" x14ac:dyDescent="0.25">
      <c r="A258" s="237"/>
      <c r="B258" s="238"/>
      <c r="C258" s="239"/>
      <c r="D258" s="54"/>
      <c r="E258" s="19"/>
      <c r="F258" s="240"/>
      <c r="G258" s="241"/>
      <c r="H258" s="242"/>
      <c r="I258" s="243"/>
      <c r="J258" s="239"/>
      <c r="K258" s="241"/>
      <c r="L258" s="52"/>
      <c r="M258" s="244"/>
      <c r="N258" s="245"/>
      <c r="O258" s="246"/>
      <c r="P258" s="247"/>
      <c r="Q258" s="248"/>
    </row>
    <row r="259" spans="1:17" ht="19.5" customHeight="1" x14ac:dyDescent="0.25">
      <c r="A259" s="237"/>
      <c r="B259" s="238"/>
      <c r="C259" s="239"/>
      <c r="D259" s="54"/>
      <c r="E259" s="20"/>
      <c r="F259" s="240"/>
      <c r="G259" s="241"/>
      <c r="H259" s="242"/>
      <c r="I259" s="243"/>
      <c r="J259" s="239"/>
      <c r="K259" s="241"/>
      <c r="L259" s="52"/>
      <c r="M259" s="244"/>
      <c r="N259" s="245"/>
      <c r="O259" s="246"/>
      <c r="P259" s="247"/>
      <c r="Q259" s="248"/>
    </row>
    <row r="260" spans="1:17" ht="19.5" customHeight="1" x14ac:dyDescent="0.25">
      <c r="A260" s="237"/>
      <c r="B260" s="238"/>
      <c r="C260" s="239"/>
      <c r="D260" s="54"/>
      <c r="E260" s="19"/>
      <c r="F260" s="240"/>
      <c r="G260" s="241"/>
      <c r="H260" s="242"/>
      <c r="I260" s="243"/>
      <c r="J260" s="239"/>
      <c r="K260" s="241"/>
      <c r="L260" s="52"/>
      <c r="M260" s="244"/>
      <c r="N260" s="245"/>
      <c r="O260" s="246"/>
      <c r="P260" s="247"/>
      <c r="Q260" s="248"/>
    </row>
    <row r="261" spans="1:17" ht="19.5" customHeight="1" x14ac:dyDescent="0.25">
      <c r="A261" s="237"/>
      <c r="B261" s="238"/>
      <c r="C261" s="239"/>
      <c r="D261" s="54"/>
      <c r="E261" s="20"/>
      <c r="F261" s="240"/>
      <c r="G261" s="241"/>
      <c r="H261" s="242"/>
      <c r="I261" s="243"/>
      <c r="J261" s="239"/>
      <c r="K261" s="241"/>
      <c r="L261" s="52"/>
      <c r="M261" s="244"/>
      <c r="N261" s="245"/>
      <c r="O261" s="246"/>
      <c r="P261" s="247"/>
      <c r="Q261" s="248"/>
    </row>
    <row r="262" spans="1:17" ht="19.5" customHeight="1" x14ac:dyDescent="0.25">
      <c r="A262" s="237"/>
      <c r="B262" s="238"/>
      <c r="C262" s="239"/>
      <c r="D262" s="54"/>
      <c r="E262" s="19"/>
      <c r="F262" s="240"/>
      <c r="G262" s="241"/>
      <c r="H262" s="242"/>
      <c r="I262" s="243"/>
      <c r="J262" s="239"/>
      <c r="K262" s="241"/>
      <c r="L262" s="52"/>
      <c r="M262" s="244"/>
      <c r="N262" s="245"/>
      <c r="O262" s="246"/>
      <c r="P262" s="247"/>
      <c r="Q262" s="248"/>
    </row>
    <row r="263" spans="1:17" ht="19.5" customHeight="1" x14ac:dyDescent="0.25">
      <c r="A263" s="237"/>
      <c r="B263" s="238"/>
      <c r="C263" s="237"/>
      <c r="D263" s="54"/>
      <c r="E263" s="20"/>
      <c r="F263" s="240"/>
      <c r="G263" s="241"/>
      <c r="H263" s="242"/>
      <c r="I263" s="243"/>
      <c r="J263" s="239"/>
      <c r="K263" s="241"/>
      <c r="L263" s="52"/>
      <c r="M263" s="244"/>
      <c r="N263" s="245"/>
      <c r="O263" s="246"/>
      <c r="P263" s="247"/>
      <c r="Q263" s="248"/>
    </row>
    <row r="264" spans="1:17" ht="19.5" customHeight="1" x14ac:dyDescent="0.25">
      <c r="A264" s="237"/>
      <c r="B264" s="238"/>
      <c r="C264" s="239"/>
      <c r="D264" s="54"/>
      <c r="E264" s="20"/>
      <c r="F264" s="240"/>
      <c r="G264" s="241"/>
      <c r="H264" s="242"/>
      <c r="I264" s="243"/>
      <c r="J264" s="239"/>
      <c r="K264" s="241"/>
      <c r="L264" s="52"/>
      <c r="M264" s="244"/>
      <c r="N264" s="245"/>
      <c r="O264" s="246"/>
      <c r="P264" s="247"/>
      <c r="Q264" s="248"/>
    </row>
    <row r="265" spans="1:17" ht="19.5" customHeight="1" x14ac:dyDescent="0.25">
      <c r="A265" s="237"/>
      <c r="B265" s="238"/>
      <c r="C265" s="239"/>
      <c r="D265" s="54"/>
      <c r="E265" s="20"/>
      <c r="F265" s="240"/>
      <c r="G265" s="241"/>
      <c r="H265" s="242"/>
      <c r="I265" s="243"/>
      <c r="J265" s="239"/>
      <c r="K265" s="241"/>
      <c r="L265" s="52"/>
      <c r="M265" s="244"/>
      <c r="N265" s="245"/>
      <c r="O265" s="246"/>
      <c r="P265" s="247"/>
      <c r="Q265" s="248"/>
    </row>
    <row r="266" spans="1:17" ht="19.5" customHeight="1" x14ac:dyDescent="0.25">
      <c r="A266" s="237"/>
      <c r="B266" s="238"/>
      <c r="C266" s="239"/>
      <c r="D266" s="54"/>
      <c r="E266" s="20"/>
      <c r="F266" s="240"/>
      <c r="G266" s="241"/>
      <c r="H266" s="242"/>
      <c r="I266" s="243"/>
      <c r="J266" s="239"/>
      <c r="K266" s="241"/>
      <c r="L266" s="52"/>
      <c r="M266" s="244"/>
      <c r="N266" s="245"/>
      <c r="O266" s="246"/>
      <c r="P266" s="247"/>
      <c r="Q266" s="248"/>
    </row>
    <row r="267" spans="1:17" ht="19.5" customHeight="1" x14ac:dyDescent="0.25">
      <c r="A267" s="237"/>
      <c r="B267" s="238"/>
      <c r="C267" s="239"/>
      <c r="D267" s="54"/>
      <c r="E267" s="20"/>
      <c r="F267" s="240"/>
      <c r="G267" s="241"/>
      <c r="H267" s="242"/>
      <c r="I267" s="243"/>
      <c r="J267" s="239"/>
      <c r="K267" s="241"/>
      <c r="L267" s="52"/>
      <c r="M267" s="244"/>
      <c r="N267" s="245"/>
      <c r="O267" s="246"/>
      <c r="P267" s="247"/>
      <c r="Q267" s="248"/>
    </row>
    <row r="268" spans="1:17" ht="19.5" customHeight="1" x14ac:dyDescent="0.25">
      <c r="A268" s="237"/>
      <c r="B268" s="238"/>
      <c r="C268" s="239"/>
      <c r="D268" s="54"/>
      <c r="E268" s="20"/>
      <c r="F268" s="240"/>
      <c r="G268" s="241"/>
      <c r="H268" s="242"/>
      <c r="I268" s="243"/>
      <c r="J268" s="239"/>
      <c r="K268" s="241"/>
      <c r="L268" s="52"/>
      <c r="M268" s="244"/>
      <c r="N268" s="245"/>
      <c r="O268" s="246"/>
      <c r="P268" s="247"/>
      <c r="Q268" s="248"/>
    </row>
    <row r="269" spans="1:17" ht="19.5" customHeight="1" x14ac:dyDescent="0.25">
      <c r="A269" s="237"/>
      <c r="B269" s="238"/>
      <c r="C269" s="239"/>
      <c r="D269" s="54"/>
      <c r="E269" s="20"/>
      <c r="F269" s="240"/>
      <c r="G269" s="241"/>
      <c r="H269" s="242"/>
      <c r="I269" s="243"/>
      <c r="J269" s="239"/>
      <c r="K269" s="241"/>
      <c r="L269" s="52"/>
      <c r="M269" s="244"/>
      <c r="N269" s="245"/>
      <c r="O269" s="246"/>
      <c r="P269" s="247"/>
      <c r="Q269" s="248"/>
    </row>
    <row r="270" spans="1:17" ht="19.5" customHeight="1" x14ac:dyDescent="0.25">
      <c r="A270" s="237"/>
      <c r="B270" s="238"/>
      <c r="C270" s="239"/>
      <c r="D270" s="54"/>
      <c r="E270" s="20"/>
      <c r="F270" s="240"/>
      <c r="G270" s="241"/>
      <c r="H270" s="242"/>
      <c r="I270" s="243"/>
      <c r="J270" s="239"/>
      <c r="K270" s="241"/>
      <c r="L270" s="52"/>
      <c r="M270" s="244"/>
      <c r="N270" s="245"/>
      <c r="O270" s="246"/>
      <c r="P270" s="247"/>
      <c r="Q270" s="248"/>
    </row>
    <row r="271" spans="1:17" ht="19.5" customHeight="1" x14ac:dyDescent="0.25">
      <c r="A271" s="237"/>
      <c r="B271" s="238"/>
      <c r="C271" s="239"/>
      <c r="D271" s="54"/>
      <c r="E271" s="20"/>
      <c r="F271" s="240"/>
      <c r="G271" s="241"/>
      <c r="H271" s="242"/>
      <c r="I271" s="243"/>
      <c r="J271" s="239"/>
      <c r="K271" s="241"/>
      <c r="L271" s="52"/>
      <c r="M271" s="244"/>
      <c r="N271" s="245"/>
      <c r="O271" s="246"/>
      <c r="P271" s="247"/>
      <c r="Q271" s="248"/>
    </row>
    <row r="272" spans="1:17" ht="19.5" customHeight="1" x14ac:dyDescent="0.25">
      <c r="A272" s="237"/>
      <c r="B272" s="238"/>
      <c r="C272" s="239"/>
      <c r="D272" s="54"/>
      <c r="E272" s="20"/>
      <c r="F272" s="240"/>
      <c r="G272" s="241"/>
      <c r="H272" s="242"/>
      <c r="I272" s="243"/>
      <c r="J272" s="239"/>
      <c r="K272" s="241"/>
      <c r="L272" s="52"/>
      <c r="M272" s="244"/>
      <c r="N272" s="245"/>
      <c r="O272" s="246"/>
      <c r="P272" s="247"/>
      <c r="Q272" s="248"/>
    </row>
    <row r="273" spans="1:17" ht="19.5" customHeight="1" x14ac:dyDescent="0.25">
      <c r="A273" s="237"/>
      <c r="B273" s="238"/>
      <c r="C273" s="239"/>
      <c r="D273" s="54"/>
      <c r="E273" s="20"/>
      <c r="F273" s="240"/>
      <c r="G273" s="241"/>
      <c r="H273" s="242"/>
      <c r="I273" s="243"/>
      <c r="J273" s="239"/>
      <c r="K273" s="241"/>
      <c r="L273" s="52"/>
      <c r="M273" s="244"/>
      <c r="N273" s="245"/>
      <c r="O273" s="246"/>
      <c r="P273" s="247"/>
      <c r="Q273" s="248"/>
    </row>
    <row r="274" spans="1:17" ht="19.5" customHeight="1" x14ac:dyDescent="0.25">
      <c r="A274" s="237"/>
      <c r="B274" s="238"/>
      <c r="C274" s="239"/>
      <c r="D274" s="54"/>
      <c r="E274" s="20"/>
      <c r="F274" s="240"/>
      <c r="G274" s="241"/>
      <c r="H274" s="242"/>
      <c r="I274" s="243"/>
      <c r="J274" s="239"/>
      <c r="K274" s="241"/>
      <c r="L274" s="52"/>
      <c r="M274" s="244"/>
      <c r="N274" s="245"/>
      <c r="O274" s="246"/>
      <c r="P274" s="247"/>
      <c r="Q274" s="248"/>
    </row>
    <row r="275" spans="1:17" ht="19.5" customHeight="1" x14ac:dyDescent="0.25">
      <c r="A275" s="237"/>
      <c r="B275" s="238"/>
      <c r="C275" s="239"/>
      <c r="D275" s="54"/>
      <c r="E275" s="20"/>
      <c r="F275" s="240"/>
      <c r="G275" s="241"/>
      <c r="H275" s="242"/>
      <c r="I275" s="243"/>
      <c r="J275" s="239"/>
      <c r="K275" s="241"/>
      <c r="L275" s="52"/>
      <c r="M275" s="244"/>
      <c r="N275" s="245"/>
      <c r="O275" s="246"/>
      <c r="P275" s="247"/>
      <c r="Q275" s="248"/>
    </row>
    <row r="276" spans="1:17" ht="19.5" customHeight="1" x14ac:dyDescent="0.25">
      <c r="A276" s="237"/>
      <c r="B276" s="238"/>
      <c r="C276" s="239"/>
      <c r="D276" s="54"/>
      <c r="E276" s="20"/>
      <c r="F276" s="240"/>
      <c r="G276" s="241"/>
      <c r="H276" s="242"/>
      <c r="I276" s="243"/>
      <c r="J276" s="239"/>
      <c r="K276" s="241"/>
      <c r="L276" s="52"/>
      <c r="M276" s="244"/>
      <c r="N276" s="245"/>
      <c r="O276" s="246"/>
      <c r="P276" s="247"/>
      <c r="Q276" s="248"/>
    </row>
    <row r="277" spans="1:17" ht="19.5" customHeight="1" x14ac:dyDescent="0.25">
      <c r="A277" s="237"/>
      <c r="B277" s="238"/>
      <c r="C277" s="239"/>
      <c r="D277" s="54"/>
      <c r="E277" s="20"/>
      <c r="F277" s="240"/>
      <c r="G277" s="241"/>
      <c r="H277" s="242"/>
      <c r="I277" s="243"/>
      <c r="J277" s="239"/>
      <c r="K277" s="241"/>
      <c r="L277" s="52"/>
      <c r="M277" s="244"/>
      <c r="N277" s="245"/>
      <c r="O277" s="246"/>
      <c r="P277" s="247"/>
      <c r="Q277" s="248"/>
    </row>
    <row r="278" spans="1:17" ht="19.5" customHeight="1" x14ac:dyDescent="0.25">
      <c r="A278" s="237"/>
      <c r="B278" s="238"/>
      <c r="C278" s="239"/>
      <c r="D278" s="54"/>
      <c r="E278" s="20"/>
      <c r="F278" s="240"/>
      <c r="G278" s="241"/>
      <c r="H278" s="242"/>
      <c r="I278" s="243"/>
      <c r="J278" s="239"/>
      <c r="K278" s="241"/>
      <c r="L278" s="52"/>
      <c r="M278" s="244"/>
      <c r="N278" s="245"/>
      <c r="O278" s="246"/>
      <c r="P278" s="247"/>
      <c r="Q278" s="248"/>
    </row>
    <row r="279" spans="1:17" ht="19.5" customHeight="1" x14ac:dyDescent="0.25">
      <c r="A279" s="237"/>
      <c r="B279" s="238"/>
      <c r="C279" s="239"/>
      <c r="D279" s="54"/>
      <c r="E279" s="20"/>
      <c r="F279" s="240"/>
      <c r="G279" s="241"/>
      <c r="H279" s="242"/>
      <c r="I279" s="243"/>
      <c r="J279" s="239"/>
      <c r="K279" s="241"/>
      <c r="L279" s="52"/>
      <c r="M279" s="244"/>
      <c r="N279" s="245"/>
      <c r="O279" s="246"/>
      <c r="P279" s="247"/>
      <c r="Q279" s="248"/>
    </row>
    <row r="280" spans="1:17" ht="19.5" customHeight="1" x14ac:dyDescent="0.25">
      <c r="A280" s="237"/>
      <c r="B280" s="238"/>
      <c r="C280" s="239"/>
      <c r="D280" s="54"/>
      <c r="E280" s="20"/>
      <c r="F280" s="240"/>
      <c r="G280" s="241"/>
      <c r="H280" s="242"/>
      <c r="I280" s="243"/>
      <c r="J280" s="239"/>
      <c r="K280" s="241"/>
      <c r="L280" s="52"/>
      <c r="M280" s="244"/>
      <c r="N280" s="245"/>
      <c r="O280" s="246"/>
      <c r="P280" s="247"/>
      <c r="Q280" s="248"/>
    </row>
    <row r="281" spans="1:17" ht="19.5" customHeight="1" x14ac:dyDescent="0.25">
      <c r="A281" s="237"/>
      <c r="B281" s="238"/>
      <c r="C281" s="239"/>
      <c r="D281" s="54"/>
      <c r="E281" s="20"/>
      <c r="F281" s="240"/>
      <c r="G281" s="241"/>
      <c r="H281" s="242"/>
      <c r="I281" s="243"/>
      <c r="J281" s="239"/>
      <c r="K281" s="241"/>
      <c r="L281" s="52"/>
      <c r="M281" s="244"/>
      <c r="N281" s="245"/>
      <c r="O281" s="246"/>
      <c r="P281" s="247"/>
      <c r="Q281" s="248"/>
    </row>
    <row r="282" spans="1:17" ht="19.5" customHeight="1" x14ac:dyDescent="0.25">
      <c r="A282" s="237"/>
      <c r="B282" s="238"/>
      <c r="C282" s="239"/>
      <c r="D282" s="54"/>
      <c r="E282" s="19"/>
      <c r="F282" s="240"/>
      <c r="G282" s="241"/>
      <c r="H282" s="242"/>
      <c r="I282" s="243"/>
      <c r="J282" s="239"/>
      <c r="K282" s="241"/>
      <c r="L282" s="52"/>
      <c r="M282" s="244"/>
      <c r="N282" s="245"/>
      <c r="O282" s="246"/>
      <c r="P282" s="247"/>
      <c r="Q282" s="248"/>
    </row>
    <row r="283" spans="1:17" ht="19.5" customHeight="1" x14ac:dyDescent="0.25">
      <c r="A283" s="237"/>
      <c r="B283" s="238"/>
      <c r="C283" s="239"/>
      <c r="D283" s="54"/>
      <c r="E283" s="20"/>
      <c r="F283" s="240"/>
      <c r="G283" s="241"/>
      <c r="H283" s="242"/>
      <c r="I283" s="243"/>
      <c r="J283" s="239"/>
      <c r="K283" s="241"/>
      <c r="L283" s="52"/>
      <c r="M283" s="244"/>
      <c r="N283" s="245"/>
      <c r="O283" s="246"/>
      <c r="P283" s="247"/>
      <c r="Q283" s="248"/>
    </row>
    <row r="284" spans="1:17" ht="19.5" customHeight="1" x14ac:dyDescent="0.25">
      <c r="A284" s="237"/>
      <c r="B284" s="238"/>
      <c r="C284" s="239"/>
      <c r="D284" s="54"/>
      <c r="E284" s="19"/>
      <c r="F284" s="240"/>
      <c r="G284" s="241"/>
      <c r="H284" s="242"/>
      <c r="I284" s="243"/>
      <c r="J284" s="239"/>
      <c r="K284" s="241"/>
      <c r="L284" s="52"/>
      <c r="M284" s="244"/>
      <c r="N284" s="245"/>
      <c r="O284" s="246"/>
      <c r="P284" s="247"/>
      <c r="Q284" s="248"/>
    </row>
    <row r="285" spans="1:17" ht="19.5" customHeight="1" x14ac:dyDescent="0.25">
      <c r="A285" s="237"/>
      <c r="B285" s="238"/>
      <c r="C285" s="239"/>
      <c r="D285" s="54"/>
      <c r="E285" s="20"/>
      <c r="F285" s="240"/>
      <c r="G285" s="241"/>
      <c r="H285" s="242"/>
      <c r="I285" s="243"/>
      <c r="J285" s="239"/>
      <c r="K285" s="241"/>
      <c r="L285" s="52"/>
      <c r="M285" s="244"/>
      <c r="N285" s="245"/>
      <c r="O285" s="246"/>
      <c r="P285" s="247"/>
      <c r="Q285" s="248"/>
    </row>
    <row r="286" spans="1:17" ht="19.5" customHeight="1" x14ac:dyDescent="0.25">
      <c r="A286" s="237"/>
      <c r="B286" s="238"/>
      <c r="C286" s="239"/>
      <c r="D286" s="54"/>
      <c r="E286" s="20"/>
      <c r="F286" s="240"/>
      <c r="G286" s="241"/>
      <c r="H286" s="242"/>
      <c r="I286" s="243"/>
      <c r="J286" s="239"/>
      <c r="K286" s="241"/>
      <c r="L286" s="52"/>
      <c r="M286" s="244"/>
      <c r="N286" s="245"/>
      <c r="O286" s="246"/>
      <c r="P286" s="247"/>
      <c r="Q286" s="248"/>
    </row>
    <row r="287" spans="1:17" ht="19.5" customHeight="1" x14ac:dyDescent="0.25">
      <c r="A287" s="237"/>
      <c r="B287" s="238"/>
      <c r="C287" s="239"/>
      <c r="D287" s="54"/>
      <c r="E287" s="20"/>
      <c r="F287" s="240"/>
      <c r="G287" s="241"/>
      <c r="H287" s="242"/>
      <c r="I287" s="243"/>
      <c r="J287" s="239"/>
      <c r="K287" s="241"/>
      <c r="L287" s="52"/>
      <c r="M287" s="244"/>
      <c r="N287" s="245"/>
      <c r="O287" s="246"/>
      <c r="P287" s="247"/>
      <c r="Q287" s="248"/>
    </row>
    <row r="288" spans="1:17" ht="19.5" customHeight="1" x14ac:dyDescent="0.25">
      <c r="A288" s="237"/>
      <c r="B288" s="238"/>
      <c r="C288" s="239"/>
      <c r="D288" s="54"/>
      <c r="E288" s="20"/>
      <c r="F288" s="240"/>
      <c r="G288" s="241"/>
      <c r="H288" s="242"/>
      <c r="I288" s="243"/>
      <c r="J288" s="239"/>
      <c r="K288" s="241"/>
      <c r="L288" s="52"/>
      <c r="M288" s="244"/>
      <c r="N288" s="245"/>
      <c r="O288" s="246"/>
      <c r="P288" s="247"/>
      <c r="Q288" s="248"/>
    </row>
    <row r="289" spans="1:17" ht="19.5" customHeight="1" x14ac:dyDescent="0.25">
      <c r="A289" s="237"/>
      <c r="B289" s="238"/>
      <c r="C289" s="239"/>
      <c r="D289" s="54"/>
      <c r="E289" s="20"/>
      <c r="F289" s="240"/>
      <c r="G289" s="241"/>
      <c r="H289" s="242"/>
      <c r="I289" s="243"/>
      <c r="J289" s="239"/>
      <c r="K289" s="241"/>
      <c r="L289" s="52"/>
      <c r="M289" s="244"/>
      <c r="N289" s="245"/>
      <c r="O289" s="246"/>
      <c r="P289" s="247"/>
      <c r="Q289" s="248"/>
    </row>
    <row r="290" spans="1:17" ht="19.5" customHeight="1" x14ac:dyDescent="0.25">
      <c r="A290" s="237"/>
      <c r="B290" s="238"/>
      <c r="C290" s="239"/>
      <c r="D290" s="54"/>
      <c r="E290" s="20"/>
      <c r="F290" s="240"/>
      <c r="G290" s="241"/>
      <c r="H290" s="242"/>
      <c r="I290" s="243"/>
      <c r="J290" s="239"/>
      <c r="K290" s="241"/>
      <c r="L290" s="52"/>
      <c r="M290" s="244"/>
      <c r="N290" s="245"/>
      <c r="O290" s="246"/>
      <c r="P290" s="247"/>
      <c r="Q290" s="248"/>
    </row>
    <row r="291" spans="1:17" ht="19.5" customHeight="1" x14ac:dyDescent="0.25">
      <c r="A291" s="237"/>
      <c r="B291" s="238"/>
      <c r="C291" s="239"/>
      <c r="D291" s="54"/>
      <c r="E291" s="20"/>
      <c r="F291" s="240"/>
      <c r="G291" s="241"/>
      <c r="H291" s="242"/>
      <c r="I291" s="243"/>
      <c r="J291" s="239"/>
      <c r="K291" s="241"/>
      <c r="L291" s="52"/>
      <c r="M291" s="244"/>
      <c r="N291" s="245"/>
      <c r="O291" s="246"/>
      <c r="P291" s="247"/>
      <c r="Q291" s="248"/>
    </row>
    <row r="292" spans="1:17" ht="19.5" customHeight="1" x14ac:dyDescent="0.25">
      <c r="A292" s="237"/>
      <c r="B292" s="238"/>
      <c r="C292" s="239"/>
      <c r="D292" s="54"/>
      <c r="E292" s="19"/>
      <c r="F292" s="240"/>
      <c r="G292" s="241"/>
      <c r="H292" s="242"/>
      <c r="I292" s="243"/>
      <c r="J292" s="239"/>
      <c r="K292" s="241"/>
      <c r="L292" s="52"/>
      <c r="M292" s="244"/>
      <c r="N292" s="245"/>
      <c r="O292" s="246"/>
      <c r="P292" s="247"/>
      <c r="Q292" s="248"/>
    </row>
    <row r="293" spans="1:17" ht="19.5" customHeight="1" x14ac:dyDescent="0.25">
      <c r="A293" s="237"/>
      <c r="B293" s="238"/>
      <c r="C293" s="239"/>
      <c r="D293" s="54"/>
      <c r="E293" s="20"/>
      <c r="F293" s="240"/>
      <c r="G293" s="241"/>
      <c r="H293" s="242"/>
      <c r="I293" s="243"/>
      <c r="J293" s="239"/>
      <c r="K293" s="241"/>
      <c r="L293" s="52"/>
      <c r="M293" s="244"/>
      <c r="N293" s="245"/>
      <c r="O293" s="246"/>
      <c r="P293" s="247"/>
      <c r="Q293" s="248"/>
    </row>
    <row r="294" spans="1:17" ht="19.5" customHeight="1" x14ac:dyDescent="0.25">
      <c r="A294" s="237"/>
      <c r="B294" s="238"/>
      <c r="C294" s="239"/>
      <c r="D294" s="54"/>
      <c r="E294" s="20"/>
      <c r="F294" s="240"/>
      <c r="G294" s="241"/>
      <c r="H294" s="242"/>
      <c r="I294" s="243"/>
      <c r="J294" s="239"/>
      <c r="K294" s="241"/>
      <c r="L294" s="52"/>
      <c r="M294" s="244"/>
      <c r="N294" s="245"/>
      <c r="O294" s="246"/>
      <c r="P294" s="247"/>
      <c r="Q294" s="248"/>
    </row>
    <row r="295" spans="1:17" ht="19.5" customHeight="1" x14ac:dyDescent="0.25">
      <c r="A295" s="149"/>
      <c r="B295" s="150"/>
      <c r="C295" s="151"/>
      <c r="D295" s="152"/>
      <c r="E295" s="153"/>
      <c r="F295" s="154"/>
      <c r="G295" s="155"/>
      <c r="H295" s="156"/>
      <c r="I295" s="157"/>
      <c r="J295" s="151"/>
      <c r="K295" s="155"/>
      <c r="L295" s="158"/>
      <c r="M295" s="159"/>
      <c r="N295" s="160"/>
      <c r="O295" s="161"/>
      <c r="P295" s="162"/>
      <c r="Q295" s="163"/>
    </row>
    <row r="296" spans="1:17" ht="19.5" customHeight="1" x14ac:dyDescent="0.25">
      <c r="A296" s="237"/>
      <c r="B296" s="238"/>
      <c r="C296" s="239"/>
      <c r="D296" s="54"/>
      <c r="E296" s="20"/>
      <c r="F296" s="240"/>
      <c r="G296" s="241"/>
      <c r="H296" s="242"/>
      <c r="I296" s="243"/>
      <c r="J296" s="239"/>
      <c r="K296" s="241"/>
      <c r="L296" s="52"/>
      <c r="M296" s="244"/>
      <c r="N296" s="245"/>
      <c r="O296" s="246"/>
      <c r="P296" s="247"/>
      <c r="Q296" s="248"/>
    </row>
    <row r="297" spans="1:17" ht="19.5" customHeight="1" x14ac:dyDescent="0.25">
      <c r="A297" s="237"/>
      <c r="B297" s="238"/>
      <c r="C297" s="239"/>
      <c r="D297" s="54"/>
      <c r="E297" s="20"/>
      <c r="F297" s="240"/>
      <c r="G297" s="241"/>
      <c r="H297" s="242"/>
      <c r="I297" s="243"/>
      <c r="J297" s="239"/>
      <c r="K297" s="241"/>
      <c r="L297" s="52"/>
      <c r="M297" s="244"/>
      <c r="N297" s="245"/>
      <c r="O297" s="246"/>
      <c r="P297" s="247"/>
      <c r="Q297" s="248"/>
    </row>
    <row r="298" spans="1:17" ht="19.5" customHeight="1" x14ac:dyDescent="0.25">
      <c r="A298" s="237"/>
      <c r="B298" s="238"/>
      <c r="C298" s="239"/>
      <c r="D298" s="54"/>
      <c r="E298" s="20"/>
      <c r="F298" s="240"/>
      <c r="G298" s="241"/>
      <c r="H298" s="242"/>
      <c r="I298" s="243"/>
      <c r="J298" s="239"/>
      <c r="K298" s="241"/>
      <c r="L298" s="52"/>
      <c r="M298" s="244"/>
      <c r="N298" s="245"/>
      <c r="O298" s="246"/>
      <c r="P298" s="247"/>
      <c r="Q298" s="248"/>
    </row>
    <row r="299" spans="1:17" ht="19.5" customHeight="1" x14ac:dyDescent="0.25">
      <c r="A299" s="237"/>
      <c r="B299" s="238"/>
      <c r="C299" s="239"/>
      <c r="D299" s="54"/>
      <c r="E299" s="19"/>
      <c r="F299" s="240"/>
      <c r="G299" s="241"/>
      <c r="H299" s="242"/>
      <c r="I299" s="243"/>
      <c r="J299" s="239"/>
      <c r="K299" s="241"/>
      <c r="L299" s="52"/>
      <c r="M299" s="244"/>
      <c r="N299" s="245"/>
      <c r="O299" s="246"/>
      <c r="P299" s="247"/>
      <c r="Q299" s="248"/>
    </row>
    <row r="300" spans="1:17" ht="19.5" customHeight="1" x14ac:dyDescent="0.25">
      <c r="A300" s="237"/>
      <c r="B300" s="238"/>
      <c r="C300" s="239"/>
      <c r="D300" s="54"/>
      <c r="E300" s="20"/>
      <c r="F300" s="240"/>
      <c r="G300" s="241"/>
      <c r="H300" s="242"/>
      <c r="I300" s="243"/>
      <c r="J300" s="239"/>
      <c r="K300" s="241"/>
      <c r="L300" s="52"/>
      <c r="M300" s="244"/>
      <c r="N300" s="245"/>
      <c r="O300" s="246"/>
      <c r="P300" s="247"/>
      <c r="Q300" s="248"/>
    </row>
    <row r="301" spans="1:17" ht="19.5" customHeight="1" x14ac:dyDescent="0.25">
      <c r="A301" s="237"/>
      <c r="B301" s="238"/>
      <c r="C301" s="239"/>
      <c r="D301" s="54"/>
      <c r="E301" s="19"/>
      <c r="F301" s="240"/>
      <c r="G301" s="241"/>
      <c r="H301" s="242"/>
      <c r="I301" s="243"/>
      <c r="J301" s="239"/>
      <c r="K301" s="241"/>
      <c r="L301" s="52"/>
      <c r="M301" s="244"/>
      <c r="N301" s="245"/>
      <c r="O301" s="246"/>
      <c r="P301" s="247"/>
      <c r="Q301" s="248"/>
    </row>
    <row r="302" spans="1:17" ht="19.5" customHeight="1" x14ac:dyDescent="0.25">
      <c r="A302" s="237"/>
      <c r="B302" s="238"/>
      <c r="C302" s="239"/>
      <c r="D302" s="54"/>
      <c r="E302" s="20"/>
      <c r="F302" s="240"/>
      <c r="G302" s="241"/>
      <c r="H302" s="242"/>
      <c r="I302" s="243"/>
      <c r="J302" s="239"/>
      <c r="K302" s="241"/>
      <c r="L302" s="52"/>
      <c r="M302" s="244"/>
      <c r="N302" s="245"/>
      <c r="O302" s="246"/>
      <c r="P302" s="247"/>
      <c r="Q302" s="248"/>
    </row>
    <row r="303" spans="1:17" ht="19.5" customHeight="1" x14ac:dyDescent="0.25">
      <c r="A303" s="237"/>
      <c r="B303" s="238"/>
      <c r="C303" s="239"/>
      <c r="D303" s="54"/>
      <c r="E303" s="20"/>
      <c r="F303" s="240"/>
      <c r="G303" s="241"/>
      <c r="H303" s="242"/>
      <c r="I303" s="243"/>
      <c r="J303" s="239"/>
      <c r="K303" s="241"/>
      <c r="L303" s="52"/>
      <c r="M303" s="244"/>
      <c r="N303" s="245"/>
      <c r="O303" s="246"/>
      <c r="P303" s="247"/>
      <c r="Q303" s="248"/>
    </row>
    <row r="304" spans="1:17" ht="19.5" customHeight="1" x14ac:dyDescent="0.25">
      <c r="A304" s="237"/>
      <c r="B304" s="238"/>
      <c r="C304" s="239"/>
      <c r="D304" s="54"/>
      <c r="E304" s="20"/>
      <c r="F304" s="240"/>
      <c r="G304" s="241"/>
      <c r="H304" s="242"/>
      <c r="I304" s="243"/>
      <c r="J304" s="239"/>
      <c r="K304" s="241"/>
      <c r="L304" s="52"/>
      <c r="M304" s="244"/>
      <c r="N304" s="245"/>
      <c r="O304" s="246"/>
      <c r="P304" s="247"/>
      <c r="Q304" s="248"/>
    </row>
    <row r="305" spans="1:17" ht="19.5" customHeight="1" x14ac:dyDescent="0.25">
      <c r="A305" s="237"/>
      <c r="B305" s="238"/>
      <c r="C305" s="239"/>
      <c r="D305" s="54"/>
      <c r="E305" s="20"/>
      <c r="F305" s="240"/>
      <c r="G305" s="241"/>
      <c r="H305" s="242"/>
      <c r="I305" s="243"/>
      <c r="J305" s="239"/>
      <c r="K305" s="241"/>
      <c r="L305" s="52"/>
      <c r="M305" s="244"/>
      <c r="N305" s="245"/>
      <c r="O305" s="246"/>
      <c r="P305" s="247"/>
      <c r="Q305" s="248"/>
    </row>
    <row r="306" spans="1:17" ht="19.5" customHeight="1" x14ac:dyDescent="0.25">
      <c r="A306" s="237"/>
      <c r="B306" s="238"/>
      <c r="C306" s="239"/>
      <c r="D306" s="54"/>
      <c r="E306" s="20"/>
      <c r="F306" s="240"/>
      <c r="G306" s="241"/>
      <c r="H306" s="242"/>
      <c r="I306" s="243"/>
      <c r="J306" s="239"/>
      <c r="K306" s="241"/>
      <c r="L306" s="52"/>
      <c r="M306" s="244"/>
      <c r="N306" s="245"/>
      <c r="O306" s="246"/>
      <c r="P306" s="247"/>
      <c r="Q306" s="248"/>
    </row>
    <row r="307" spans="1:17" ht="19.5" customHeight="1" x14ac:dyDescent="0.25">
      <c r="A307" s="237"/>
      <c r="B307" s="238"/>
      <c r="C307" s="239"/>
      <c r="D307" s="54"/>
      <c r="E307" s="20"/>
      <c r="F307" s="240"/>
      <c r="G307" s="241"/>
      <c r="H307" s="242"/>
      <c r="I307" s="243"/>
      <c r="J307" s="239"/>
      <c r="K307" s="241"/>
      <c r="L307" s="52"/>
      <c r="M307" s="244"/>
      <c r="N307" s="245"/>
      <c r="O307" s="246"/>
      <c r="P307" s="247"/>
      <c r="Q307" s="248"/>
    </row>
    <row r="308" spans="1:17" ht="19.5" customHeight="1" x14ac:dyDescent="0.25">
      <c r="A308" s="237"/>
      <c r="B308" s="238"/>
      <c r="C308" s="237"/>
      <c r="D308" s="54"/>
      <c r="E308" s="19"/>
      <c r="F308" s="240"/>
      <c r="G308" s="241"/>
      <c r="H308" s="242"/>
      <c r="I308" s="243"/>
      <c r="J308" s="239"/>
      <c r="K308" s="241"/>
      <c r="L308" s="52"/>
      <c r="M308" s="244"/>
      <c r="N308" s="245"/>
      <c r="O308" s="246"/>
      <c r="P308" s="247"/>
      <c r="Q308" s="248"/>
    </row>
    <row r="309" spans="1:17" ht="19.5" customHeight="1" x14ac:dyDescent="0.25">
      <c r="A309" s="237"/>
      <c r="B309" s="238"/>
      <c r="C309" s="239"/>
      <c r="D309" s="54"/>
      <c r="E309" s="20"/>
      <c r="F309" s="240"/>
      <c r="G309" s="241"/>
      <c r="H309" s="242"/>
      <c r="I309" s="243"/>
      <c r="J309" s="239"/>
      <c r="K309" s="241"/>
      <c r="L309" s="52"/>
      <c r="M309" s="244"/>
      <c r="N309" s="245"/>
      <c r="O309" s="246"/>
      <c r="P309" s="247"/>
      <c r="Q309" s="248"/>
    </row>
    <row r="310" spans="1:17" ht="19.5" customHeight="1" x14ac:dyDescent="0.25">
      <c r="A310" s="237"/>
      <c r="B310" s="238"/>
      <c r="C310" s="239"/>
      <c r="D310" s="54"/>
      <c r="E310" s="20"/>
      <c r="F310" s="240"/>
      <c r="G310" s="241"/>
      <c r="H310" s="242"/>
      <c r="I310" s="243"/>
      <c r="J310" s="239"/>
      <c r="K310" s="241"/>
      <c r="L310" s="52"/>
      <c r="M310" s="244"/>
      <c r="N310" s="245"/>
      <c r="O310" s="246"/>
      <c r="P310" s="247"/>
      <c r="Q310" s="248"/>
    </row>
    <row r="311" spans="1:17" ht="19.5" customHeight="1" x14ac:dyDescent="0.25">
      <c r="A311" s="237"/>
      <c r="B311" s="238"/>
      <c r="C311" s="239"/>
      <c r="D311" s="54"/>
      <c r="E311" s="20"/>
      <c r="F311" s="240"/>
      <c r="G311" s="241"/>
      <c r="H311" s="242"/>
      <c r="I311" s="243"/>
      <c r="J311" s="239"/>
      <c r="K311" s="241"/>
      <c r="L311" s="52"/>
      <c r="M311" s="244"/>
      <c r="N311" s="245"/>
      <c r="O311" s="246"/>
      <c r="P311" s="247"/>
      <c r="Q311" s="248"/>
    </row>
    <row r="312" spans="1:17" ht="19.5" customHeight="1" x14ac:dyDescent="0.25">
      <c r="A312" s="237"/>
      <c r="B312" s="238"/>
      <c r="C312" s="239"/>
      <c r="D312" s="54"/>
      <c r="E312" s="20"/>
      <c r="F312" s="240"/>
      <c r="G312" s="241"/>
      <c r="H312" s="242"/>
      <c r="I312" s="243"/>
      <c r="J312" s="239"/>
      <c r="K312" s="241"/>
      <c r="L312" s="52"/>
      <c r="M312" s="244"/>
      <c r="N312" s="245"/>
      <c r="O312" s="246"/>
      <c r="P312" s="247"/>
      <c r="Q312" s="248"/>
    </row>
    <row r="313" spans="1:17" ht="19.5" customHeight="1" x14ac:dyDescent="0.25">
      <c r="A313" s="237"/>
      <c r="B313" s="238"/>
      <c r="C313" s="239"/>
      <c r="D313" s="54"/>
      <c r="E313" s="19"/>
      <c r="F313" s="240"/>
      <c r="G313" s="241"/>
      <c r="H313" s="242"/>
      <c r="I313" s="243"/>
      <c r="J313" s="239"/>
      <c r="K313" s="241"/>
      <c r="L313" s="52"/>
      <c r="M313" s="244"/>
      <c r="N313" s="245"/>
      <c r="O313" s="246"/>
      <c r="P313" s="247"/>
      <c r="Q313" s="248"/>
    </row>
    <row r="314" spans="1:17" ht="19.5" customHeight="1" x14ac:dyDescent="0.25">
      <c r="A314" s="237"/>
      <c r="B314" s="238"/>
      <c r="C314" s="239"/>
      <c r="D314" s="54"/>
      <c r="E314" s="20"/>
      <c r="F314" s="240"/>
      <c r="G314" s="241"/>
      <c r="H314" s="242"/>
      <c r="I314" s="243"/>
      <c r="J314" s="239"/>
      <c r="K314" s="241"/>
      <c r="L314" s="52"/>
      <c r="M314" s="244"/>
      <c r="N314" s="245"/>
      <c r="O314" s="246"/>
      <c r="P314" s="247"/>
      <c r="Q314" s="248"/>
    </row>
    <row r="315" spans="1:17" ht="19.5" customHeight="1" x14ac:dyDescent="0.25">
      <c r="A315" s="237"/>
      <c r="B315" s="238"/>
      <c r="C315" s="239"/>
      <c r="D315" s="54"/>
      <c r="E315" s="20"/>
      <c r="F315" s="240"/>
      <c r="G315" s="241"/>
      <c r="H315" s="242"/>
      <c r="I315" s="243"/>
      <c r="J315" s="239"/>
      <c r="K315" s="241"/>
      <c r="L315" s="52"/>
      <c r="M315" s="244"/>
      <c r="N315" s="245"/>
      <c r="O315" s="246"/>
      <c r="P315" s="247"/>
      <c r="Q315" s="248"/>
    </row>
    <row r="316" spans="1:17" ht="19.5" customHeight="1" x14ac:dyDescent="0.25">
      <c r="A316" s="237"/>
      <c r="B316" s="238"/>
      <c r="C316" s="239"/>
      <c r="D316" s="54"/>
      <c r="E316" s="19"/>
      <c r="F316" s="240"/>
      <c r="G316" s="241"/>
      <c r="H316" s="242"/>
      <c r="I316" s="243"/>
      <c r="J316" s="239"/>
      <c r="K316" s="241"/>
      <c r="L316" s="52"/>
      <c r="M316" s="244"/>
      <c r="N316" s="245"/>
      <c r="O316" s="246"/>
      <c r="P316" s="247"/>
      <c r="Q316" s="248"/>
    </row>
    <row r="317" spans="1:17" ht="19.5" customHeight="1" x14ac:dyDescent="0.25">
      <c r="A317" s="237"/>
      <c r="B317" s="238"/>
      <c r="C317" s="239"/>
      <c r="D317" s="54"/>
      <c r="E317" s="20"/>
      <c r="F317" s="240"/>
      <c r="G317" s="241"/>
      <c r="H317" s="242"/>
      <c r="I317" s="243"/>
      <c r="J317" s="239"/>
      <c r="K317" s="241"/>
      <c r="L317" s="52"/>
      <c r="M317" s="244"/>
      <c r="N317" s="245"/>
      <c r="O317" s="246"/>
      <c r="P317" s="247"/>
      <c r="Q317" s="248"/>
    </row>
    <row r="318" spans="1:17" ht="19.5" customHeight="1" x14ac:dyDescent="0.25">
      <c r="A318" s="237"/>
      <c r="B318" s="238"/>
      <c r="C318" s="239"/>
      <c r="D318" s="54"/>
      <c r="E318" s="20"/>
      <c r="F318" s="240"/>
      <c r="G318" s="241"/>
      <c r="H318" s="242"/>
      <c r="I318" s="243"/>
      <c r="J318" s="239"/>
      <c r="K318" s="241"/>
      <c r="L318" s="52"/>
      <c r="M318" s="244"/>
      <c r="N318" s="245"/>
      <c r="O318" s="246"/>
      <c r="P318" s="247"/>
      <c r="Q318" s="248"/>
    </row>
    <row r="319" spans="1:17" ht="19.5" customHeight="1" x14ac:dyDescent="0.25">
      <c r="A319" s="237"/>
      <c r="B319" s="238"/>
      <c r="C319" s="239"/>
      <c r="D319" s="54"/>
      <c r="E319" s="20"/>
      <c r="F319" s="240"/>
      <c r="G319" s="241"/>
      <c r="H319" s="242"/>
      <c r="I319" s="243"/>
      <c r="J319" s="239"/>
      <c r="K319" s="241"/>
      <c r="L319" s="52"/>
      <c r="M319" s="244"/>
      <c r="N319" s="245"/>
      <c r="O319" s="246"/>
      <c r="P319" s="247"/>
      <c r="Q319" s="248"/>
    </row>
    <row r="320" spans="1:17" ht="19.5" customHeight="1" x14ac:dyDescent="0.25">
      <c r="A320" s="237"/>
      <c r="B320" s="238"/>
      <c r="C320" s="239"/>
      <c r="D320" s="54"/>
      <c r="E320" s="20"/>
      <c r="F320" s="240"/>
      <c r="G320" s="241"/>
      <c r="H320" s="242"/>
      <c r="I320" s="243"/>
      <c r="J320" s="239"/>
      <c r="K320" s="241"/>
      <c r="L320" s="52"/>
      <c r="M320" s="244"/>
      <c r="N320" s="245"/>
      <c r="O320" s="246"/>
      <c r="P320" s="247"/>
      <c r="Q320" s="248"/>
    </row>
    <row r="321" spans="1:17" ht="19.5" customHeight="1" x14ac:dyDescent="0.25">
      <c r="A321" s="237"/>
      <c r="B321" s="238"/>
      <c r="C321" s="239"/>
      <c r="D321" s="54"/>
      <c r="E321" s="20"/>
      <c r="F321" s="240"/>
      <c r="G321" s="241"/>
      <c r="H321" s="242"/>
      <c r="I321" s="243"/>
      <c r="J321" s="239"/>
      <c r="K321" s="241"/>
      <c r="L321" s="52"/>
      <c r="M321" s="244"/>
      <c r="N321" s="245"/>
      <c r="O321" s="246"/>
      <c r="P321" s="247"/>
      <c r="Q321" s="248"/>
    </row>
    <row r="322" spans="1:17" ht="19.5" customHeight="1" x14ac:dyDescent="0.25">
      <c r="A322" s="237"/>
      <c r="B322" s="238"/>
      <c r="C322" s="239"/>
      <c r="D322" s="54"/>
      <c r="E322" s="20"/>
      <c r="F322" s="240"/>
      <c r="G322" s="241"/>
      <c r="H322" s="242"/>
      <c r="I322" s="243"/>
      <c r="J322" s="239"/>
      <c r="K322" s="241"/>
      <c r="L322" s="52"/>
      <c r="M322" s="244"/>
      <c r="N322" s="245"/>
      <c r="O322" s="246"/>
      <c r="P322" s="247"/>
      <c r="Q322" s="248"/>
    </row>
    <row r="323" spans="1:17" ht="19.5" customHeight="1" x14ac:dyDescent="0.25">
      <c r="A323" s="237"/>
      <c r="B323" s="238"/>
      <c r="C323" s="239"/>
      <c r="D323" s="54"/>
      <c r="E323" s="20"/>
      <c r="F323" s="240"/>
      <c r="G323" s="241"/>
      <c r="H323" s="242"/>
      <c r="I323" s="243"/>
      <c r="J323" s="239"/>
      <c r="K323" s="241"/>
      <c r="L323" s="52"/>
      <c r="M323" s="244"/>
      <c r="N323" s="245"/>
      <c r="O323" s="246"/>
      <c r="P323" s="247"/>
      <c r="Q323" s="248"/>
    </row>
    <row r="324" spans="1:17" ht="19.5" customHeight="1" x14ac:dyDescent="0.25">
      <c r="A324" s="237"/>
      <c r="B324" s="238"/>
      <c r="C324" s="239"/>
      <c r="D324" s="54"/>
      <c r="E324" s="20"/>
      <c r="F324" s="240"/>
      <c r="G324" s="241"/>
      <c r="H324" s="242"/>
      <c r="I324" s="243"/>
      <c r="J324" s="239"/>
      <c r="K324" s="241"/>
      <c r="L324" s="52"/>
      <c r="M324" s="244"/>
      <c r="N324" s="245"/>
      <c r="O324" s="246"/>
      <c r="P324" s="247"/>
      <c r="Q324" s="248"/>
    </row>
    <row r="325" spans="1:17" ht="19.5" customHeight="1" x14ac:dyDescent="0.25">
      <c r="A325" s="237"/>
      <c r="B325" s="238"/>
      <c r="C325" s="239"/>
      <c r="D325" s="54"/>
      <c r="E325" s="19"/>
      <c r="F325" s="240"/>
      <c r="G325" s="241"/>
      <c r="H325" s="242"/>
      <c r="I325" s="243"/>
      <c r="J325" s="239"/>
      <c r="K325" s="241"/>
      <c r="L325" s="52"/>
      <c r="M325" s="244"/>
      <c r="N325" s="245"/>
      <c r="O325" s="246"/>
      <c r="P325" s="247"/>
      <c r="Q325" s="248"/>
    </row>
    <row r="326" spans="1:17" ht="19.5" customHeight="1" x14ac:dyDescent="0.25">
      <c r="A326" s="237"/>
      <c r="B326" s="238"/>
      <c r="C326" s="239"/>
      <c r="D326" s="54"/>
      <c r="E326" s="20"/>
      <c r="F326" s="240"/>
      <c r="G326" s="241"/>
      <c r="H326" s="242"/>
      <c r="I326" s="243"/>
      <c r="J326" s="239"/>
      <c r="K326" s="241"/>
      <c r="L326" s="52"/>
      <c r="M326" s="244"/>
      <c r="N326" s="245"/>
      <c r="O326" s="246"/>
      <c r="P326" s="247"/>
      <c r="Q326" s="248"/>
    </row>
    <row r="327" spans="1:17" ht="19.5" customHeight="1" x14ac:dyDescent="0.25">
      <c r="A327" s="237"/>
      <c r="B327" s="238"/>
      <c r="C327" s="239"/>
      <c r="D327" s="54"/>
      <c r="E327" s="20"/>
      <c r="F327" s="240"/>
      <c r="G327" s="241"/>
      <c r="H327" s="242"/>
      <c r="I327" s="243"/>
      <c r="J327" s="239"/>
      <c r="K327" s="241"/>
      <c r="L327" s="52"/>
      <c r="M327" s="244"/>
      <c r="N327" s="245"/>
      <c r="O327" s="246"/>
      <c r="P327" s="247"/>
      <c r="Q327" s="248"/>
    </row>
    <row r="328" spans="1:17" ht="19.5" customHeight="1" x14ac:dyDescent="0.25">
      <c r="A328" s="237"/>
      <c r="B328" s="238"/>
      <c r="C328" s="239"/>
      <c r="D328" s="54"/>
      <c r="E328" s="20"/>
      <c r="F328" s="240"/>
      <c r="G328" s="241"/>
      <c r="H328" s="242"/>
      <c r="I328" s="243"/>
      <c r="J328" s="239"/>
      <c r="K328" s="241"/>
      <c r="L328" s="52"/>
      <c r="M328" s="244"/>
      <c r="N328" s="245"/>
      <c r="O328" s="246"/>
      <c r="P328" s="247"/>
      <c r="Q328" s="248"/>
    </row>
    <row r="329" spans="1:17" ht="19.5" customHeight="1" x14ac:dyDescent="0.25">
      <c r="A329" s="237"/>
      <c r="B329" s="238"/>
      <c r="C329" s="239"/>
      <c r="D329" s="54"/>
      <c r="E329" s="20"/>
      <c r="F329" s="240"/>
      <c r="G329" s="241"/>
      <c r="H329" s="242"/>
      <c r="I329" s="243"/>
      <c r="J329" s="239"/>
      <c r="K329" s="241"/>
      <c r="L329" s="52"/>
      <c r="M329" s="244"/>
      <c r="N329" s="245"/>
      <c r="O329" s="246"/>
      <c r="P329" s="247"/>
      <c r="Q329" s="248"/>
    </row>
    <row r="330" spans="1:17" ht="19.5" customHeight="1" x14ac:dyDescent="0.25">
      <c r="A330" s="237"/>
      <c r="B330" s="238"/>
      <c r="C330" s="239"/>
      <c r="D330" s="54"/>
      <c r="E330" s="20"/>
      <c r="F330" s="240"/>
      <c r="G330" s="241"/>
      <c r="H330" s="242"/>
      <c r="I330" s="243"/>
      <c r="J330" s="239"/>
      <c r="K330" s="241"/>
      <c r="L330" s="52"/>
      <c r="M330" s="244"/>
      <c r="N330" s="245"/>
      <c r="O330" s="246"/>
      <c r="P330" s="247"/>
      <c r="Q330" s="248"/>
    </row>
    <row r="331" spans="1:17" ht="19.5" customHeight="1" x14ac:dyDescent="0.25">
      <c r="A331" s="237"/>
      <c r="B331" s="238"/>
      <c r="C331" s="239"/>
      <c r="D331" s="54"/>
      <c r="E331" s="20"/>
      <c r="F331" s="240"/>
      <c r="G331" s="241"/>
      <c r="H331" s="242"/>
      <c r="I331" s="243"/>
      <c r="J331" s="239"/>
      <c r="K331" s="241"/>
      <c r="L331" s="52"/>
      <c r="M331" s="244"/>
      <c r="N331" s="245"/>
      <c r="O331" s="246"/>
      <c r="P331" s="247"/>
      <c r="Q331" s="248"/>
    </row>
    <row r="332" spans="1:17" ht="19.5" customHeight="1" x14ac:dyDescent="0.25">
      <c r="A332" s="237"/>
      <c r="B332" s="238"/>
      <c r="C332" s="239"/>
      <c r="D332" s="54"/>
      <c r="E332" s="19"/>
      <c r="F332" s="240"/>
      <c r="G332" s="241"/>
      <c r="H332" s="242"/>
      <c r="I332" s="243"/>
      <c r="J332" s="239"/>
      <c r="K332" s="241"/>
      <c r="L332" s="52"/>
      <c r="M332" s="244"/>
      <c r="N332" s="245"/>
      <c r="O332" s="246"/>
      <c r="P332" s="247"/>
      <c r="Q332" s="248"/>
    </row>
    <row r="333" spans="1:17" ht="19.5" customHeight="1" x14ac:dyDescent="0.25">
      <c r="A333" s="237"/>
      <c r="B333" s="238"/>
      <c r="C333" s="237"/>
      <c r="D333" s="54"/>
      <c r="E333" s="20"/>
      <c r="F333" s="240"/>
      <c r="G333" s="241"/>
      <c r="H333" s="242"/>
      <c r="I333" s="243"/>
      <c r="J333" s="239"/>
      <c r="K333" s="241"/>
      <c r="L333" s="52"/>
      <c r="M333" s="244"/>
      <c r="N333" s="245"/>
      <c r="O333" s="246"/>
      <c r="P333" s="247"/>
      <c r="Q333" s="248"/>
    </row>
    <row r="334" spans="1:17" ht="19.5" customHeight="1" x14ac:dyDescent="0.25">
      <c r="A334" s="237"/>
      <c r="B334" s="238"/>
      <c r="C334" s="239"/>
      <c r="D334" s="54"/>
      <c r="E334" s="20"/>
      <c r="F334" s="240"/>
      <c r="G334" s="241"/>
      <c r="H334" s="242"/>
      <c r="I334" s="243"/>
      <c r="J334" s="239"/>
      <c r="K334" s="241"/>
      <c r="L334" s="52"/>
      <c r="M334" s="244"/>
      <c r="N334" s="245"/>
      <c r="O334" s="246"/>
      <c r="P334" s="247"/>
      <c r="Q334" s="248"/>
    </row>
    <row r="335" spans="1:17" ht="19.5" customHeight="1" x14ac:dyDescent="0.25">
      <c r="A335" s="237"/>
      <c r="B335" s="238"/>
      <c r="C335" s="239"/>
      <c r="D335" s="54"/>
      <c r="E335" s="20"/>
      <c r="F335" s="240"/>
      <c r="G335" s="241"/>
      <c r="H335" s="242"/>
      <c r="I335" s="243"/>
      <c r="J335" s="239"/>
      <c r="K335" s="241"/>
      <c r="L335" s="52"/>
      <c r="M335" s="244"/>
      <c r="N335" s="245"/>
      <c r="O335" s="246"/>
      <c r="P335" s="247"/>
      <c r="Q335" s="248"/>
    </row>
    <row r="336" spans="1:17" ht="19.5" customHeight="1" x14ac:dyDescent="0.25">
      <c r="A336" s="237"/>
      <c r="B336" s="238"/>
      <c r="C336" s="239"/>
      <c r="D336" s="54"/>
      <c r="E336" s="20"/>
      <c r="F336" s="240"/>
      <c r="G336" s="241"/>
      <c r="H336" s="242"/>
      <c r="I336" s="243"/>
      <c r="J336" s="239"/>
      <c r="K336" s="241"/>
      <c r="L336" s="52"/>
      <c r="M336" s="244"/>
      <c r="N336" s="245"/>
      <c r="O336" s="246"/>
      <c r="P336" s="247"/>
      <c r="Q336" s="248"/>
    </row>
    <row r="337" spans="1:17" ht="19.5" customHeight="1" x14ac:dyDescent="0.25">
      <c r="A337" s="237"/>
      <c r="B337" s="238"/>
      <c r="C337" s="239"/>
      <c r="D337" s="54"/>
      <c r="E337" s="20"/>
      <c r="F337" s="240"/>
      <c r="G337" s="241"/>
      <c r="H337" s="242"/>
      <c r="I337" s="243"/>
      <c r="J337" s="239"/>
      <c r="K337" s="241"/>
      <c r="L337" s="52"/>
      <c r="M337" s="244"/>
      <c r="N337" s="245"/>
      <c r="O337" s="246"/>
      <c r="P337" s="247"/>
      <c r="Q337" s="248"/>
    </row>
    <row r="338" spans="1:17" ht="19.5" customHeight="1" x14ac:dyDescent="0.25">
      <c r="A338" s="237"/>
      <c r="B338" s="238"/>
      <c r="C338" s="239"/>
      <c r="D338" s="54"/>
      <c r="E338" s="19"/>
      <c r="F338" s="240"/>
      <c r="G338" s="241"/>
      <c r="H338" s="242"/>
      <c r="I338" s="243"/>
      <c r="J338" s="239"/>
      <c r="K338" s="241"/>
      <c r="L338" s="52"/>
      <c r="M338" s="244"/>
      <c r="N338" s="245"/>
      <c r="O338" s="246"/>
      <c r="P338" s="247"/>
      <c r="Q338" s="248"/>
    </row>
    <row r="339" spans="1:17" ht="19.5" customHeight="1" x14ac:dyDescent="0.25">
      <c r="A339" s="237"/>
      <c r="B339" s="238"/>
      <c r="C339" s="239"/>
      <c r="D339" s="54"/>
      <c r="E339" s="19"/>
      <c r="F339" s="240"/>
      <c r="G339" s="241"/>
      <c r="H339" s="242"/>
      <c r="I339" s="243"/>
      <c r="J339" s="239"/>
      <c r="K339" s="241"/>
      <c r="L339" s="52"/>
      <c r="M339" s="244"/>
      <c r="N339" s="245"/>
      <c r="O339" s="246"/>
      <c r="P339" s="247"/>
      <c r="Q339" s="248"/>
    </row>
    <row r="340" spans="1:17" ht="19.5" customHeight="1" x14ac:dyDescent="0.25">
      <c r="A340" s="237"/>
      <c r="B340" s="238"/>
      <c r="C340" s="239"/>
      <c r="D340" s="54"/>
      <c r="E340" s="20"/>
      <c r="F340" s="240"/>
      <c r="G340" s="241"/>
      <c r="H340" s="242"/>
      <c r="I340" s="243"/>
      <c r="J340" s="239"/>
      <c r="K340" s="241"/>
      <c r="L340" s="52"/>
      <c r="M340" s="244"/>
      <c r="N340" s="245"/>
      <c r="O340" s="246"/>
      <c r="P340" s="247"/>
      <c r="Q340" s="248"/>
    </row>
    <row r="341" spans="1:17" ht="19.5" customHeight="1" x14ac:dyDescent="0.25">
      <c r="A341" s="237"/>
      <c r="B341" s="238"/>
      <c r="C341" s="239"/>
      <c r="D341" s="54"/>
      <c r="E341" s="20"/>
      <c r="F341" s="240"/>
      <c r="G341" s="241"/>
      <c r="H341" s="242"/>
      <c r="I341" s="243"/>
      <c r="J341" s="239"/>
      <c r="K341" s="241"/>
      <c r="L341" s="52"/>
      <c r="M341" s="244"/>
      <c r="N341" s="245"/>
      <c r="O341" s="246"/>
      <c r="P341" s="247"/>
      <c r="Q341" s="248"/>
    </row>
    <row r="342" spans="1:17" ht="19.5" customHeight="1" x14ac:dyDescent="0.25">
      <c r="A342" s="237"/>
      <c r="B342" s="238"/>
      <c r="C342" s="239"/>
      <c r="D342" s="54"/>
      <c r="E342" s="20"/>
      <c r="F342" s="240"/>
      <c r="G342" s="241"/>
      <c r="H342" s="242"/>
      <c r="I342" s="243"/>
      <c r="J342" s="239"/>
      <c r="K342" s="241"/>
      <c r="L342" s="52"/>
      <c r="M342" s="244"/>
      <c r="N342" s="245"/>
      <c r="O342" s="246"/>
      <c r="P342" s="247"/>
      <c r="Q342" s="248"/>
    </row>
    <row r="343" spans="1:17" ht="19.5" customHeight="1" x14ac:dyDescent="0.25">
      <c r="A343" s="237"/>
      <c r="B343" s="238"/>
      <c r="C343" s="239"/>
      <c r="D343" s="54"/>
      <c r="E343" s="20"/>
      <c r="F343" s="240"/>
      <c r="G343" s="241"/>
      <c r="H343" s="242"/>
      <c r="I343" s="243"/>
      <c r="J343" s="239"/>
      <c r="K343" s="241"/>
      <c r="L343" s="52"/>
      <c r="M343" s="244"/>
      <c r="N343" s="245"/>
      <c r="O343" s="246"/>
      <c r="P343" s="247"/>
      <c r="Q343" s="248"/>
    </row>
    <row r="344" spans="1:17" ht="19.5" customHeight="1" x14ac:dyDescent="0.25">
      <c r="A344" s="237"/>
      <c r="B344" s="238"/>
      <c r="C344" s="239"/>
      <c r="D344" s="54"/>
      <c r="E344" s="19"/>
      <c r="F344" s="240"/>
      <c r="G344" s="241"/>
      <c r="H344" s="242"/>
      <c r="I344" s="243"/>
      <c r="J344" s="239"/>
      <c r="K344" s="241"/>
      <c r="L344" s="52"/>
      <c r="M344" s="244"/>
      <c r="N344" s="245"/>
      <c r="O344" s="246"/>
      <c r="P344" s="247"/>
      <c r="Q344" s="248"/>
    </row>
    <row r="345" spans="1:17" ht="19.5" customHeight="1" x14ac:dyDescent="0.25">
      <c r="A345" s="237"/>
      <c r="B345" s="238"/>
      <c r="C345" s="239"/>
      <c r="D345" s="54"/>
      <c r="E345" s="20"/>
      <c r="F345" s="240"/>
      <c r="G345" s="241"/>
      <c r="H345" s="242"/>
      <c r="I345" s="243"/>
      <c r="J345" s="239"/>
      <c r="K345" s="241"/>
      <c r="L345" s="52"/>
      <c r="M345" s="244"/>
      <c r="N345" s="245"/>
      <c r="O345" s="246"/>
      <c r="P345" s="247"/>
      <c r="Q345" s="248"/>
    </row>
    <row r="346" spans="1:17" ht="19.5" customHeight="1" x14ac:dyDescent="0.25">
      <c r="A346" s="237"/>
      <c r="B346" s="238"/>
      <c r="C346" s="239"/>
      <c r="D346" s="54"/>
      <c r="E346" s="20"/>
      <c r="F346" s="240"/>
      <c r="G346" s="241"/>
      <c r="H346" s="242"/>
      <c r="I346" s="243"/>
      <c r="J346" s="239"/>
      <c r="K346" s="241"/>
      <c r="L346" s="52"/>
      <c r="M346" s="244"/>
      <c r="N346" s="245"/>
      <c r="O346" s="246"/>
      <c r="P346" s="247"/>
      <c r="Q346" s="248"/>
    </row>
    <row r="347" spans="1:17" ht="19.5" customHeight="1" x14ac:dyDescent="0.25">
      <c r="A347" s="237"/>
      <c r="B347" s="238"/>
      <c r="C347" s="239"/>
      <c r="D347" s="54"/>
      <c r="E347" s="20"/>
      <c r="F347" s="240"/>
      <c r="G347" s="241"/>
      <c r="H347" s="242"/>
      <c r="I347" s="243"/>
      <c r="J347" s="239"/>
      <c r="K347" s="241"/>
      <c r="L347" s="52"/>
      <c r="M347" s="244"/>
      <c r="N347" s="245"/>
      <c r="O347" s="246"/>
      <c r="P347" s="247"/>
      <c r="Q347" s="248"/>
    </row>
    <row r="348" spans="1:17" ht="19.5" customHeight="1" x14ac:dyDescent="0.25">
      <c r="A348" s="237"/>
      <c r="B348" s="238"/>
      <c r="C348" s="239"/>
      <c r="D348" s="54"/>
      <c r="E348" s="20"/>
      <c r="F348" s="240"/>
      <c r="G348" s="241"/>
      <c r="H348" s="242"/>
      <c r="I348" s="243"/>
      <c r="J348" s="239"/>
      <c r="K348" s="241"/>
      <c r="L348" s="52"/>
      <c r="M348" s="244"/>
      <c r="N348" s="245"/>
      <c r="O348" s="246"/>
      <c r="P348" s="247"/>
      <c r="Q348" s="248"/>
    </row>
    <row r="349" spans="1:17" ht="19.5" customHeight="1" x14ac:dyDescent="0.25">
      <c r="A349" s="237"/>
      <c r="B349" s="238"/>
      <c r="C349" s="239"/>
      <c r="D349" s="54"/>
      <c r="E349" s="20"/>
      <c r="F349" s="240"/>
      <c r="G349" s="241"/>
      <c r="H349" s="242"/>
      <c r="I349" s="243"/>
      <c r="J349" s="239"/>
      <c r="K349" s="241"/>
      <c r="L349" s="52"/>
      <c r="M349" s="244"/>
      <c r="N349" s="245"/>
      <c r="O349" s="246"/>
      <c r="P349" s="247"/>
      <c r="Q349" s="248"/>
    </row>
    <row r="350" spans="1:17" ht="19.5" customHeight="1" x14ac:dyDescent="0.25">
      <c r="A350" s="237"/>
      <c r="B350" s="238"/>
      <c r="C350" s="239"/>
      <c r="D350" s="54"/>
      <c r="E350" s="19"/>
      <c r="F350" s="240"/>
      <c r="G350" s="241"/>
      <c r="H350" s="242"/>
      <c r="I350" s="243"/>
      <c r="J350" s="239"/>
      <c r="K350" s="241"/>
      <c r="L350" s="52"/>
      <c r="M350" s="244"/>
      <c r="N350" s="245"/>
      <c r="O350" s="246"/>
      <c r="P350" s="247"/>
      <c r="Q350" s="248"/>
    </row>
    <row r="351" spans="1:17" ht="19.5" customHeight="1" x14ac:dyDescent="0.25">
      <c r="A351" s="237"/>
      <c r="B351" s="238"/>
      <c r="C351" s="239"/>
      <c r="D351" s="54"/>
      <c r="E351" s="20"/>
      <c r="F351" s="240"/>
      <c r="G351" s="241"/>
      <c r="H351" s="242"/>
      <c r="I351" s="243"/>
      <c r="J351" s="239"/>
      <c r="K351" s="241"/>
      <c r="L351" s="52"/>
      <c r="M351" s="244"/>
      <c r="N351" s="245"/>
      <c r="O351" s="246"/>
      <c r="P351" s="247"/>
      <c r="Q351" s="248"/>
    </row>
    <row r="352" spans="1:17" ht="19.5" customHeight="1" x14ac:dyDescent="0.25">
      <c r="A352" s="237"/>
      <c r="B352" s="238"/>
      <c r="C352" s="239"/>
      <c r="D352" s="54"/>
      <c r="E352" s="19"/>
      <c r="F352" s="240"/>
      <c r="G352" s="241"/>
      <c r="H352" s="242"/>
      <c r="I352" s="243"/>
      <c r="J352" s="239"/>
      <c r="K352" s="241"/>
      <c r="L352" s="52"/>
      <c r="M352" s="244"/>
      <c r="N352" s="245"/>
      <c r="O352" s="246"/>
      <c r="P352" s="247"/>
      <c r="Q352" s="248"/>
    </row>
    <row r="353" spans="1:17" ht="19.5" customHeight="1" x14ac:dyDescent="0.25">
      <c r="A353" s="237"/>
      <c r="B353" s="238"/>
      <c r="C353" s="239"/>
      <c r="D353" s="54"/>
      <c r="E353" s="20"/>
      <c r="F353" s="240"/>
      <c r="G353" s="241"/>
      <c r="H353" s="242"/>
      <c r="I353" s="243"/>
      <c r="J353" s="239"/>
      <c r="K353" s="241"/>
      <c r="L353" s="52"/>
      <c r="M353" s="244"/>
      <c r="N353" s="245"/>
      <c r="O353" s="246"/>
      <c r="P353" s="247"/>
      <c r="Q353" s="248"/>
    </row>
    <row r="354" spans="1:17" ht="19.5" customHeight="1" x14ac:dyDescent="0.25">
      <c r="A354" s="237"/>
      <c r="B354" s="238"/>
      <c r="C354" s="239"/>
      <c r="D354" s="54"/>
      <c r="E354" s="20"/>
      <c r="F354" s="240"/>
      <c r="G354" s="241"/>
      <c r="H354" s="242"/>
      <c r="I354" s="243"/>
      <c r="J354" s="239"/>
      <c r="K354" s="241"/>
      <c r="L354" s="52"/>
      <c r="M354" s="244"/>
      <c r="N354" s="245"/>
      <c r="O354" s="246"/>
      <c r="P354" s="247"/>
      <c r="Q354" s="248"/>
    </row>
    <row r="355" spans="1:17" ht="19.5" customHeight="1" x14ac:dyDescent="0.25">
      <c r="A355" s="237"/>
      <c r="B355" s="238"/>
      <c r="C355" s="239"/>
      <c r="D355" s="54"/>
      <c r="E355" s="20"/>
      <c r="F355" s="240"/>
      <c r="G355" s="241"/>
      <c r="H355" s="242"/>
      <c r="I355" s="243"/>
      <c r="J355" s="239"/>
      <c r="K355" s="241"/>
      <c r="L355" s="52"/>
      <c r="M355" s="244"/>
      <c r="N355" s="245"/>
      <c r="O355" s="246"/>
      <c r="P355" s="247"/>
      <c r="Q355" s="248"/>
    </row>
    <row r="356" spans="1:17" ht="19.5" customHeight="1" x14ac:dyDescent="0.25">
      <c r="A356" s="149"/>
      <c r="B356" s="150"/>
      <c r="C356" s="151"/>
      <c r="D356" s="152"/>
      <c r="E356" s="153"/>
      <c r="F356" s="154"/>
      <c r="G356" s="155"/>
      <c r="H356" s="156"/>
      <c r="I356" s="157"/>
      <c r="J356" s="151"/>
      <c r="K356" s="155"/>
      <c r="L356" s="158"/>
      <c r="M356" s="159"/>
      <c r="N356" s="160"/>
      <c r="O356" s="161"/>
      <c r="P356" s="162"/>
      <c r="Q356" s="163"/>
    </row>
    <row r="357" spans="1:17" ht="19.5" customHeight="1" x14ac:dyDescent="0.25">
      <c r="A357" s="149"/>
      <c r="B357" s="150"/>
      <c r="C357" s="151"/>
      <c r="D357" s="152"/>
      <c r="E357" s="179"/>
      <c r="F357" s="154"/>
      <c r="G357" s="155"/>
      <c r="H357" s="156"/>
      <c r="I357" s="157"/>
      <c r="J357" s="151"/>
      <c r="K357" s="155"/>
      <c r="L357" s="158"/>
      <c r="M357" s="159"/>
      <c r="N357" s="160"/>
      <c r="O357" s="161"/>
      <c r="P357" s="162"/>
      <c r="Q357" s="163"/>
    </row>
    <row r="358" spans="1:17" ht="19.5" customHeight="1" x14ac:dyDescent="0.25">
      <c r="A358" s="237"/>
      <c r="B358" s="238"/>
      <c r="C358" s="239"/>
      <c r="D358" s="54"/>
      <c r="E358" s="20"/>
      <c r="F358" s="240"/>
      <c r="G358" s="241"/>
      <c r="H358" s="242"/>
      <c r="I358" s="243"/>
      <c r="J358" s="239"/>
      <c r="K358" s="241"/>
      <c r="L358" s="52"/>
      <c r="M358" s="244"/>
      <c r="N358" s="245"/>
      <c r="O358" s="246"/>
      <c r="P358" s="247"/>
      <c r="Q358" s="248"/>
    </row>
    <row r="359" spans="1:17" ht="19.5" customHeight="1" x14ac:dyDescent="0.25">
      <c r="A359" s="149"/>
      <c r="B359" s="150"/>
      <c r="C359" s="151"/>
      <c r="D359" s="152"/>
      <c r="E359" s="153"/>
      <c r="F359" s="154"/>
      <c r="G359" s="155"/>
      <c r="H359" s="156"/>
      <c r="I359" s="157"/>
      <c r="J359" s="151"/>
      <c r="K359" s="155"/>
      <c r="L359" s="158"/>
      <c r="M359" s="159"/>
      <c r="N359" s="160"/>
      <c r="O359" s="161"/>
      <c r="P359" s="162"/>
      <c r="Q359" s="163"/>
    </row>
    <row r="360" spans="1:17" ht="19.5" customHeight="1" x14ac:dyDescent="0.25">
      <c r="A360" s="149"/>
      <c r="B360" s="150"/>
      <c r="C360" s="151"/>
      <c r="D360" s="152"/>
      <c r="E360" s="153"/>
      <c r="F360" s="154"/>
      <c r="G360" s="155"/>
      <c r="H360" s="156"/>
      <c r="I360" s="157"/>
      <c r="J360" s="151"/>
      <c r="K360" s="155"/>
      <c r="L360" s="158"/>
      <c r="M360" s="159"/>
      <c r="N360" s="160"/>
      <c r="O360" s="161"/>
      <c r="P360" s="162"/>
      <c r="Q360" s="163"/>
    </row>
    <row r="361" spans="1:17" ht="19.5" customHeight="1" x14ac:dyDescent="0.25">
      <c r="A361" s="237"/>
      <c r="B361" s="238"/>
      <c r="C361" s="239"/>
      <c r="D361" s="54"/>
      <c r="E361" s="20"/>
      <c r="F361" s="240"/>
      <c r="G361" s="241"/>
      <c r="H361" s="242"/>
      <c r="I361" s="243"/>
      <c r="J361" s="239"/>
      <c r="K361" s="241"/>
      <c r="L361" s="52"/>
      <c r="M361" s="244"/>
      <c r="N361" s="245"/>
      <c r="O361" s="246"/>
      <c r="P361" s="247"/>
      <c r="Q361" s="248"/>
    </row>
    <row r="362" spans="1:17" ht="19.5" customHeight="1" x14ac:dyDescent="0.25">
      <c r="A362" s="237"/>
      <c r="B362" s="238"/>
      <c r="C362" s="239"/>
      <c r="D362" s="54"/>
      <c r="E362" s="20"/>
      <c r="F362" s="240"/>
      <c r="G362" s="241"/>
      <c r="H362" s="242"/>
      <c r="I362" s="243"/>
      <c r="J362" s="239"/>
      <c r="K362" s="241"/>
      <c r="L362" s="52"/>
      <c r="M362" s="244"/>
      <c r="N362" s="245"/>
      <c r="O362" s="246"/>
      <c r="P362" s="247"/>
      <c r="Q362" s="248"/>
    </row>
    <row r="363" spans="1:17" ht="19.5" customHeight="1" x14ac:dyDescent="0.25">
      <c r="A363" s="237"/>
      <c r="B363" s="238"/>
      <c r="C363" s="239"/>
      <c r="D363" s="54"/>
      <c r="E363" s="20"/>
      <c r="F363" s="240"/>
      <c r="G363" s="241"/>
      <c r="H363" s="242"/>
      <c r="I363" s="243"/>
      <c r="J363" s="239"/>
      <c r="K363" s="241"/>
      <c r="L363" s="52"/>
      <c r="M363" s="244"/>
      <c r="N363" s="245"/>
      <c r="O363" s="246"/>
      <c r="P363" s="247"/>
      <c r="Q363" s="248"/>
    </row>
    <row r="364" spans="1:17" ht="19.5" customHeight="1" x14ac:dyDescent="0.25">
      <c r="A364" s="237"/>
      <c r="B364" s="238"/>
      <c r="C364" s="239"/>
      <c r="D364" s="54"/>
      <c r="E364" s="20"/>
      <c r="F364" s="240"/>
      <c r="G364" s="241"/>
      <c r="H364" s="242"/>
      <c r="I364" s="243"/>
      <c r="J364" s="239"/>
      <c r="K364" s="241"/>
      <c r="L364" s="52"/>
      <c r="M364" s="244"/>
      <c r="N364" s="245"/>
      <c r="O364" s="246"/>
      <c r="P364" s="247"/>
      <c r="Q364" s="248"/>
    </row>
    <row r="365" spans="1:17" ht="19.5" customHeight="1" x14ac:dyDescent="0.25">
      <c r="A365" s="237"/>
      <c r="B365" s="238"/>
      <c r="C365" s="239"/>
      <c r="D365" s="54"/>
      <c r="E365" s="20"/>
      <c r="F365" s="240"/>
      <c r="G365" s="241"/>
      <c r="H365" s="242"/>
      <c r="I365" s="243"/>
      <c r="J365" s="239"/>
      <c r="K365" s="241"/>
      <c r="L365" s="52"/>
      <c r="M365" s="244"/>
      <c r="N365" s="245"/>
      <c r="O365" s="246"/>
      <c r="P365" s="247"/>
      <c r="Q365" s="248"/>
    </row>
    <row r="366" spans="1:17" ht="19.5" customHeight="1" x14ac:dyDescent="0.25">
      <c r="A366" s="237"/>
      <c r="B366" s="238"/>
      <c r="C366" s="239"/>
      <c r="D366" s="54"/>
      <c r="E366" s="19"/>
      <c r="F366" s="240"/>
      <c r="G366" s="241"/>
      <c r="H366" s="242"/>
      <c r="I366" s="243"/>
      <c r="J366" s="239"/>
      <c r="K366" s="241"/>
      <c r="L366" s="52"/>
      <c r="M366" s="244"/>
      <c r="N366" s="245"/>
      <c r="O366" s="246"/>
      <c r="P366" s="247"/>
      <c r="Q366" s="248"/>
    </row>
    <row r="367" spans="1:17" ht="19.5" customHeight="1" x14ac:dyDescent="0.25">
      <c r="A367" s="237"/>
      <c r="B367" s="238"/>
      <c r="C367" s="239"/>
      <c r="D367" s="54"/>
      <c r="E367" s="20"/>
      <c r="F367" s="240"/>
      <c r="G367" s="241"/>
      <c r="H367" s="242"/>
      <c r="I367" s="243"/>
      <c r="J367" s="239"/>
      <c r="K367" s="241"/>
      <c r="L367" s="52"/>
      <c r="M367" s="244"/>
      <c r="N367" s="245"/>
      <c r="O367" s="246"/>
      <c r="P367" s="247"/>
      <c r="Q367" s="248"/>
    </row>
    <row r="368" spans="1:17" ht="19.5" customHeight="1" x14ac:dyDescent="0.25">
      <c r="A368" s="237"/>
      <c r="B368" s="238"/>
      <c r="C368" s="239"/>
      <c r="D368" s="54"/>
      <c r="E368" s="20"/>
      <c r="F368" s="240"/>
      <c r="G368" s="241"/>
      <c r="H368" s="242"/>
      <c r="I368" s="243"/>
      <c r="J368" s="239"/>
      <c r="K368" s="241"/>
      <c r="L368" s="52"/>
      <c r="M368" s="244"/>
      <c r="N368" s="245"/>
      <c r="O368" s="246"/>
      <c r="P368" s="247"/>
      <c r="Q368" s="248"/>
    </row>
    <row r="369" spans="1:17" ht="19.5" customHeight="1" x14ac:dyDescent="0.25">
      <c r="A369" s="237"/>
      <c r="B369" s="238"/>
      <c r="C369" s="239"/>
      <c r="D369" s="54"/>
      <c r="E369" s="19"/>
      <c r="F369" s="240"/>
      <c r="G369" s="241"/>
      <c r="H369" s="242"/>
      <c r="I369" s="243"/>
      <c r="J369" s="239"/>
      <c r="K369" s="241"/>
      <c r="L369" s="52"/>
      <c r="M369" s="244"/>
      <c r="N369" s="245"/>
      <c r="O369" s="246"/>
      <c r="P369" s="247"/>
      <c r="Q369" s="248"/>
    </row>
    <row r="370" spans="1:17" ht="19.5" customHeight="1" x14ac:dyDescent="0.25">
      <c r="A370" s="237"/>
      <c r="B370" s="238"/>
      <c r="C370" s="239"/>
      <c r="D370" s="54"/>
      <c r="E370" s="20"/>
      <c r="F370" s="240"/>
      <c r="G370" s="241"/>
      <c r="H370" s="242"/>
      <c r="I370" s="243"/>
      <c r="J370" s="239"/>
      <c r="K370" s="241"/>
      <c r="L370" s="52"/>
      <c r="M370" s="244"/>
      <c r="N370" s="245"/>
      <c r="O370" s="246"/>
      <c r="P370" s="247"/>
      <c r="Q370" s="248"/>
    </row>
    <row r="371" spans="1:17" ht="19.5" customHeight="1" x14ac:dyDescent="0.25">
      <c r="A371" s="237"/>
      <c r="B371" s="238"/>
      <c r="C371" s="239"/>
      <c r="D371" s="54"/>
      <c r="E371" s="20"/>
      <c r="F371" s="240"/>
      <c r="G371" s="241"/>
      <c r="H371" s="242"/>
      <c r="I371" s="243"/>
      <c r="J371" s="239"/>
      <c r="K371" s="241"/>
      <c r="L371" s="52"/>
      <c r="M371" s="244"/>
      <c r="N371" s="245"/>
      <c r="O371" s="246"/>
      <c r="P371" s="247"/>
      <c r="Q371" s="248"/>
    </row>
    <row r="372" spans="1:17" ht="19.5" customHeight="1" x14ac:dyDescent="0.25">
      <c r="A372" s="237"/>
      <c r="B372" s="238"/>
      <c r="C372" s="239"/>
      <c r="D372" s="54"/>
      <c r="E372" s="20"/>
      <c r="F372" s="240"/>
      <c r="G372" s="241"/>
      <c r="H372" s="242"/>
      <c r="I372" s="243"/>
      <c r="J372" s="239"/>
      <c r="K372" s="241"/>
      <c r="L372" s="52"/>
      <c r="M372" s="244"/>
      <c r="N372" s="245"/>
      <c r="O372" s="246"/>
      <c r="P372" s="247"/>
      <c r="Q372" s="248"/>
    </row>
    <row r="373" spans="1:17" ht="19.5" customHeight="1" x14ac:dyDescent="0.25">
      <c r="A373" s="237"/>
      <c r="B373" s="238"/>
      <c r="C373" s="239"/>
      <c r="D373" s="54"/>
      <c r="E373" s="20"/>
      <c r="F373" s="240"/>
      <c r="G373" s="241"/>
      <c r="H373" s="242"/>
      <c r="I373" s="243"/>
      <c r="J373" s="239"/>
      <c r="K373" s="241"/>
      <c r="L373" s="52"/>
      <c r="M373" s="244"/>
      <c r="N373" s="245"/>
      <c r="O373" s="246"/>
      <c r="P373" s="247"/>
      <c r="Q373" s="248"/>
    </row>
    <row r="374" spans="1:17" ht="19.5" customHeight="1" x14ac:dyDescent="0.25">
      <c r="A374" s="237"/>
      <c r="B374" s="238"/>
      <c r="C374" s="239"/>
      <c r="D374" s="54"/>
      <c r="E374" s="20"/>
      <c r="F374" s="240"/>
      <c r="G374" s="241"/>
      <c r="H374" s="242"/>
      <c r="I374" s="243"/>
      <c r="J374" s="239"/>
      <c r="K374" s="241"/>
      <c r="L374" s="52"/>
      <c r="M374" s="244"/>
      <c r="N374" s="245"/>
      <c r="O374" s="246"/>
      <c r="P374" s="247"/>
      <c r="Q374" s="248"/>
    </row>
    <row r="375" spans="1:17" ht="19.5" customHeight="1" x14ac:dyDescent="0.25">
      <c r="A375" s="237"/>
      <c r="B375" s="238"/>
      <c r="C375" s="239"/>
      <c r="D375" s="54"/>
      <c r="E375" s="20"/>
      <c r="F375" s="240"/>
      <c r="G375" s="241"/>
      <c r="H375" s="242"/>
      <c r="I375" s="243"/>
      <c r="J375" s="239"/>
      <c r="K375" s="241"/>
      <c r="L375" s="52"/>
      <c r="M375" s="244"/>
      <c r="N375" s="245"/>
      <c r="O375" s="246"/>
      <c r="P375" s="247"/>
      <c r="Q375" s="248"/>
    </row>
    <row r="376" spans="1:17" ht="19.5" customHeight="1" x14ac:dyDescent="0.25">
      <c r="A376" s="237"/>
      <c r="B376" s="238"/>
      <c r="C376" s="239"/>
      <c r="D376" s="54"/>
      <c r="E376" s="20"/>
      <c r="F376" s="240"/>
      <c r="G376" s="241"/>
      <c r="H376" s="242"/>
      <c r="I376" s="243"/>
      <c r="J376" s="239"/>
      <c r="K376" s="241"/>
      <c r="L376" s="52"/>
      <c r="M376" s="244"/>
      <c r="N376" s="245"/>
      <c r="O376" s="246"/>
      <c r="P376" s="247"/>
      <c r="Q376" s="248"/>
    </row>
    <row r="377" spans="1:17" ht="19.5" customHeight="1" x14ac:dyDescent="0.25">
      <c r="A377" s="237"/>
      <c r="B377" s="238"/>
      <c r="C377" s="239"/>
      <c r="D377" s="54"/>
      <c r="E377" s="19"/>
      <c r="F377" s="240"/>
      <c r="G377" s="241"/>
      <c r="H377" s="242"/>
      <c r="I377" s="243"/>
      <c r="J377" s="239"/>
      <c r="K377" s="241"/>
      <c r="L377" s="52"/>
      <c r="M377" s="244"/>
      <c r="N377" s="245"/>
      <c r="O377" s="246"/>
      <c r="P377" s="247"/>
      <c r="Q377" s="248"/>
    </row>
    <row r="378" spans="1:17" ht="19.5" customHeight="1" x14ac:dyDescent="0.25">
      <c r="A378" s="237"/>
      <c r="B378" s="238"/>
      <c r="C378" s="239"/>
      <c r="D378" s="54"/>
      <c r="E378" s="20"/>
      <c r="F378" s="240"/>
      <c r="G378" s="241"/>
      <c r="H378" s="242"/>
      <c r="I378" s="243"/>
      <c r="J378" s="239"/>
      <c r="K378" s="241"/>
      <c r="L378" s="52"/>
      <c r="M378" s="244"/>
      <c r="N378" s="245"/>
      <c r="O378" s="246"/>
      <c r="P378" s="247"/>
      <c r="Q378" s="248"/>
    </row>
    <row r="379" spans="1:17" ht="19.5" customHeight="1" x14ac:dyDescent="0.25">
      <c r="A379" s="237"/>
      <c r="B379" s="238"/>
      <c r="C379" s="239"/>
      <c r="D379" s="54"/>
      <c r="E379" s="19"/>
      <c r="F379" s="240"/>
      <c r="G379" s="241"/>
      <c r="H379" s="242"/>
      <c r="I379" s="243"/>
      <c r="J379" s="239"/>
      <c r="K379" s="241"/>
      <c r="L379" s="52"/>
      <c r="M379" s="244"/>
      <c r="N379" s="245"/>
      <c r="O379" s="246"/>
      <c r="P379" s="247"/>
      <c r="Q379" s="248"/>
    </row>
    <row r="380" spans="1:17" ht="19.5" customHeight="1" x14ac:dyDescent="0.25">
      <c r="A380" s="237"/>
      <c r="B380" s="238"/>
      <c r="C380" s="239"/>
      <c r="D380" s="54"/>
      <c r="E380" s="20"/>
      <c r="F380" s="240"/>
      <c r="G380" s="241"/>
      <c r="H380" s="242"/>
      <c r="I380" s="243"/>
      <c r="J380" s="239"/>
      <c r="K380" s="241"/>
      <c r="L380" s="52"/>
      <c r="M380" s="244"/>
      <c r="N380" s="245"/>
      <c r="O380" s="246"/>
      <c r="P380" s="247"/>
      <c r="Q380" s="248"/>
    </row>
    <row r="381" spans="1:17" ht="19.5" customHeight="1" x14ac:dyDescent="0.25">
      <c r="A381" s="237"/>
      <c r="B381" s="238"/>
      <c r="C381" s="239"/>
      <c r="D381" s="54"/>
      <c r="E381" s="20"/>
      <c r="F381" s="240"/>
      <c r="G381" s="241"/>
      <c r="H381" s="242"/>
      <c r="I381" s="243"/>
      <c r="J381" s="239"/>
      <c r="K381" s="241"/>
      <c r="L381" s="52"/>
      <c r="M381" s="244"/>
      <c r="N381" s="245"/>
      <c r="O381" s="246"/>
      <c r="P381" s="247"/>
      <c r="Q381" s="248"/>
    </row>
    <row r="382" spans="1:17" ht="19.5" customHeight="1" x14ac:dyDescent="0.25">
      <c r="A382" s="237"/>
      <c r="B382" s="238"/>
      <c r="C382" s="239"/>
      <c r="D382" s="54"/>
      <c r="E382" s="20"/>
      <c r="F382" s="240"/>
      <c r="G382" s="241"/>
      <c r="H382" s="242"/>
      <c r="I382" s="243"/>
      <c r="J382" s="239"/>
      <c r="K382" s="241"/>
      <c r="L382" s="52"/>
      <c r="M382" s="244"/>
      <c r="N382" s="245"/>
      <c r="O382" s="246"/>
      <c r="P382" s="247"/>
      <c r="Q382" s="248"/>
    </row>
    <row r="383" spans="1:17" ht="19.5" customHeight="1" x14ac:dyDescent="0.25">
      <c r="A383" s="237"/>
      <c r="B383" s="238"/>
      <c r="C383" s="239"/>
      <c r="D383" s="54"/>
      <c r="E383" s="20"/>
      <c r="F383" s="240"/>
      <c r="G383" s="241"/>
      <c r="H383" s="242"/>
      <c r="I383" s="243"/>
      <c r="J383" s="239"/>
      <c r="K383" s="241"/>
      <c r="L383" s="52"/>
      <c r="M383" s="244"/>
      <c r="N383" s="245"/>
      <c r="O383" s="246"/>
      <c r="P383" s="247"/>
      <c r="Q383" s="248"/>
    </row>
    <row r="384" spans="1:17" ht="19.5" customHeight="1" x14ac:dyDescent="0.25">
      <c r="A384" s="237"/>
      <c r="B384" s="238"/>
      <c r="C384" s="239"/>
      <c r="D384" s="54"/>
      <c r="E384" s="20"/>
      <c r="F384" s="240"/>
      <c r="G384" s="241"/>
      <c r="H384" s="242"/>
      <c r="I384" s="243"/>
      <c r="J384" s="239"/>
      <c r="K384" s="241"/>
      <c r="L384" s="52"/>
      <c r="M384" s="244"/>
      <c r="N384" s="245"/>
      <c r="O384" s="246"/>
      <c r="P384" s="247"/>
      <c r="Q384" s="248"/>
    </row>
    <row r="385" spans="1:17" ht="19.5" customHeight="1" x14ac:dyDescent="0.25">
      <c r="A385" s="237"/>
      <c r="B385" s="238"/>
      <c r="C385" s="239"/>
      <c r="D385" s="54"/>
      <c r="E385" s="20"/>
      <c r="F385" s="240"/>
      <c r="G385" s="241"/>
      <c r="H385" s="242"/>
      <c r="I385" s="243"/>
      <c r="J385" s="239"/>
      <c r="K385" s="241"/>
      <c r="L385" s="52"/>
      <c r="M385" s="244"/>
      <c r="N385" s="245"/>
      <c r="O385" s="246"/>
      <c r="P385" s="247"/>
      <c r="Q385" s="248"/>
    </row>
    <row r="386" spans="1:17" ht="19.5" customHeight="1" x14ac:dyDescent="0.25">
      <c r="A386" s="237"/>
      <c r="B386" s="238"/>
      <c r="C386" s="239"/>
      <c r="D386" s="54"/>
      <c r="E386" s="20"/>
      <c r="F386" s="240"/>
      <c r="G386" s="241"/>
      <c r="H386" s="242"/>
      <c r="I386" s="243"/>
      <c r="J386" s="239"/>
      <c r="K386" s="241"/>
      <c r="L386" s="52"/>
      <c r="M386" s="244"/>
      <c r="N386" s="245"/>
      <c r="O386" s="246"/>
      <c r="P386" s="247"/>
      <c r="Q386" s="248"/>
    </row>
    <row r="387" spans="1:17" ht="19.5" customHeight="1" x14ac:dyDescent="0.25">
      <c r="A387" s="237"/>
      <c r="B387" s="238"/>
      <c r="C387" s="239"/>
      <c r="D387" s="54"/>
      <c r="E387" s="20"/>
      <c r="F387" s="240"/>
      <c r="G387" s="241"/>
      <c r="H387" s="242"/>
      <c r="I387" s="243"/>
      <c r="J387" s="239"/>
      <c r="K387" s="241"/>
      <c r="L387" s="52"/>
      <c r="M387" s="244"/>
      <c r="N387" s="245"/>
      <c r="O387" s="246"/>
      <c r="P387" s="247"/>
      <c r="Q387" s="248"/>
    </row>
    <row r="388" spans="1:17" ht="19.5" customHeight="1" x14ac:dyDescent="0.25">
      <c r="A388" s="237"/>
      <c r="B388" s="238"/>
      <c r="C388" s="239"/>
      <c r="D388" s="54"/>
      <c r="E388" s="20"/>
      <c r="F388" s="240"/>
      <c r="G388" s="241"/>
      <c r="H388" s="242"/>
      <c r="I388" s="243"/>
      <c r="J388" s="239"/>
      <c r="K388" s="241"/>
      <c r="L388" s="52"/>
      <c r="M388" s="244"/>
      <c r="N388" s="245"/>
      <c r="O388" s="246"/>
      <c r="P388" s="247"/>
      <c r="Q388" s="248"/>
    </row>
    <row r="389" spans="1:17" ht="19.5" customHeight="1" x14ac:dyDescent="0.25">
      <c r="A389" s="237"/>
      <c r="B389" s="238"/>
      <c r="C389" s="239"/>
      <c r="D389" s="54"/>
      <c r="E389" s="20"/>
      <c r="F389" s="240"/>
      <c r="G389" s="241"/>
      <c r="H389" s="242"/>
      <c r="I389" s="243"/>
      <c r="J389" s="239"/>
      <c r="K389" s="241"/>
      <c r="L389" s="52"/>
      <c r="M389" s="244"/>
      <c r="N389" s="245"/>
      <c r="O389" s="246"/>
      <c r="P389" s="247"/>
      <c r="Q389" s="248"/>
    </row>
    <row r="390" spans="1:17" ht="19.5" customHeight="1" x14ac:dyDescent="0.25">
      <c r="A390" s="237"/>
      <c r="B390" s="238"/>
      <c r="C390" s="239"/>
      <c r="D390" s="54"/>
      <c r="E390" s="20"/>
      <c r="F390" s="240"/>
      <c r="G390" s="241"/>
      <c r="H390" s="242"/>
      <c r="I390" s="243"/>
      <c r="J390" s="239"/>
      <c r="K390" s="241"/>
      <c r="L390" s="52"/>
      <c r="M390" s="244"/>
      <c r="N390" s="245"/>
      <c r="O390" s="246"/>
      <c r="P390" s="247"/>
      <c r="Q390" s="248"/>
    </row>
    <row r="391" spans="1:17" ht="19.5" customHeight="1" x14ac:dyDescent="0.25">
      <c r="A391" s="237"/>
      <c r="B391" s="238"/>
      <c r="C391" s="239"/>
      <c r="D391" s="54"/>
      <c r="E391" s="19"/>
      <c r="F391" s="240"/>
      <c r="G391" s="241"/>
      <c r="H391" s="242"/>
      <c r="I391" s="243"/>
      <c r="J391" s="239"/>
      <c r="K391" s="241"/>
      <c r="L391" s="52"/>
      <c r="M391" s="244"/>
      <c r="N391" s="245"/>
      <c r="O391" s="246"/>
      <c r="P391" s="247"/>
      <c r="Q391" s="248"/>
    </row>
    <row r="392" spans="1:17" ht="19.5" customHeight="1" x14ac:dyDescent="0.25">
      <c r="A392" s="237"/>
      <c r="B392" s="238"/>
      <c r="C392" s="239"/>
      <c r="D392" s="54"/>
      <c r="E392" s="19"/>
      <c r="F392" s="240"/>
      <c r="G392" s="241"/>
      <c r="H392" s="242"/>
      <c r="I392" s="243"/>
      <c r="J392" s="239"/>
      <c r="K392" s="241"/>
      <c r="L392" s="52"/>
      <c r="M392" s="244"/>
      <c r="N392" s="245"/>
      <c r="O392" s="246"/>
      <c r="P392" s="247"/>
      <c r="Q392" s="248"/>
    </row>
    <row r="393" spans="1:17" ht="19.5" customHeight="1" x14ac:dyDescent="0.25">
      <c r="A393" s="237"/>
      <c r="B393" s="238"/>
      <c r="C393" s="239"/>
      <c r="D393" s="54"/>
      <c r="E393" s="20"/>
      <c r="F393" s="240"/>
      <c r="G393" s="241"/>
      <c r="H393" s="242"/>
      <c r="I393" s="243"/>
      <c r="J393" s="239"/>
      <c r="K393" s="241"/>
      <c r="L393" s="52"/>
      <c r="M393" s="244"/>
      <c r="N393" s="245"/>
      <c r="O393" s="246"/>
      <c r="P393" s="247"/>
      <c r="Q393" s="248"/>
    </row>
    <row r="394" spans="1:17" ht="19.5" customHeight="1" x14ac:dyDescent="0.25">
      <c r="A394" s="237"/>
      <c r="B394" s="238"/>
      <c r="C394" s="239"/>
      <c r="D394" s="54"/>
      <c r="E394" s="20"/>
      <c r="F394" s="240"/>
      <c r="G394" s="241"/>
      <c r="H394" s="242"/>
      <c r="I394" s="243"/>
      <c r="J394" s="239"/>
      <c r="K394" s="241"/>
      <c r="L394" s="52"/>
      <c r="M394" s="244"/>
      <c r="N394" s="245"/>
      <c r="O394" s="246"/>
      <c r="P394" s="247"/>
      <c r="Q394" s="248"/>
    </row>
    <row r="395" spans="1:17" ht="19.5" customHeight="1" x14ac:dyDescent="0.25">
      <c r="A395" s="237"/>
      <c r="B395" s="238"/>
      <c r="C395" s="239"/>
      <c r="D395" s="54"/>
      <c r="E395" s="20"/>
      <c r="F395" s="240"/>
      <c r="G395" s="241"/>
      <c r="H395" s="242"/>
      <c r="I395" s="243"/>
      <c r="J395" s="239"/>
      <c r="K395" s="241"/>
      <c r="L395" s="52"/>
      <c r="M395" s="244"/>
      <c r="N395" s="245"/>
      <c r="O395" s="246"/>
      <c r="P395" s="247"/>
      <c r="Q395" s="248"/>
    </row>
    <row r="396" spans="1:17" ht="19.5" customHeight="1" x14ac:dyDescent="0.25">
      <c r="A396" s="237"/>
      <c r="B396" s="238"/>
      <c r="C396" s="239"/>
      <c r="D396" s="54"/>
      <c r="E396" s="19"/>
      <c r="F396" s="240"/>
      <c r="G396" s="241"/>
      <c r="H396" s="242"/>
      <c r="I396" s="243"/>
      <c r="J396" s="239"/>
      <c r="K396" s="241"/>
      <c r="L396" s="52"/>
      <c r="M396" s="244"/>
      <c r="N396" s="245"/>
      <c r="O396" s="246"/>
      <c r="P396" s="247"/>
      <c r="Q396" s="248"/>
    </row>
    <row r="397" spans="1:17" ht="19.5" customHeight="1" x14ac:dyDescent="0.25">
      <c r="A397" s="237"/>
      <c r="B397" s="238"/>
      <c r="C397" s="239"/>
      <c r="D397" s="54"/>
      <c r="E397" s="20"/>
      <c r="F397" s="240"/>
      <c r="G397" s="241"/>
      <c r="H397" s="242"/>
      <c r="I397" s="243"/>
      <c r="J397" s="239"/>
      <c r="K397" s="241"/>
      <c r="L397" s="52"/>
      <c r="M397" s="244"/>
      <c r="N397" s="245"/>
      <c r="O397" s="246"/>
      <c r="P397" s="247"/>
      <c r="Q397" s="248"/>
    </row>
    <row r="398" spans="1:17" ht="19.5" customHeight="1" x14ac:dyDescent="0.25">
      <c r="A398" s="237"/>
      <c r="B398" s="238"/>
      <c r="C398" s="239"/>
      <c r="D398" s="54"/>
      <c r="E398" s="20"/>
      <c r="F398" s="240"/>
      <c r="G398" s="241"/>
      <c r="H398" s="242"/>
      <c r="I398" s="243"/>
      <c r="J398" s="239"/>
      <c r="K398" s="241"/>
      <c r="L398" s="52"/>
      <c r="M398" s="244"/>
      <c r="N398" s="245"/>
      <c r="O398" s="246"/>
      <c r="P398" s="247"/>
      <c r="Q398" s="248"/>
    </row>
    <row r="399" spans="1:17" ht="19.5" customHeight="1" x14ac:dyDescent="0.25">
      <c r="A399" s="237"/>
      <c r="B399" s="238"/>
      <c r="C399" s="237"/>
      <c r="D399" s="54"/>
      <c r="E399" s="20"/>
      <c r="F399" s="240"/>
      <c r="G399" s="241"/>
      <c r="H399" s="242"/>
      <c r="I399" s="243"/>
      <c r="J399" s="239"/>
      <c r="K399" s="241"/>
      <c r="L399" s="52"/>
      <c r="M399" s="244"/>
      <c r="N399" s="245"/>
      <c r="O399" s="246"/>
      <c r="P399" s="247"/>
      <c r="Q399" s="248"/>
    </row>
    <row r="400" spans="1:17" ht="19.5" customHeight="1" x14ac:dyDescent="0.25">
      <c r="A400" s="237"/>
      <c r="B400" s="238"/>
      <c r="C400" s="239"/>
      <c r="D400" s="54"/>
      <c r="E400" s="19"/>
      <c r="F400" s="240"/>
      <c r="G400" s="241"/>
      <c r="H400" s="242"/>
      <c r="I400" s="243"/>
      <c r="J400" s="239"/>
      <c r="K400" s="241"/>
      <c r="L400" s="52"/>
      <c r="M400" s="244"/>
      <c r="N400" s="245"/>
      <c r="O400" s="246"/>
      <c r="P400" s="247"/>
      <c r="Q400" s="248"/>
    </row>
    <row r="401" spans="1:17" ht="19.5" customHeight="1" x14ac:dyDescent="0.25">
      <c r="A401" s="237"/>
      <c r="B401" s="238"/>
      <c r="C401" s="239"/>
      <c r="D401" s="54"/>
      <c r="E401" s="20"/>
      <c r="F401" s="240"/>
      <c r="G401" s="241"/>
      <c r="H401" s="242"/>
      <c r="I401" s="243"/>
      <c r="J401" s="239"/>
      <c r="K401" s="241"/>
      <c r="L401" s="52"/>
      <c r="M401" s="244"/>
      <c r="N401" s="245"/>
      <c r="O401" s="246"/>
      <c r="P401" s="247"/>
      <c r="Q401" s="248"/>
    </row>
    <row r="402" spans="1:17" ht="19.5" customHeight="1" x14ac:dyDescent="0.25">
      <c r="A402" s="237"/>
      <c r="B402" s="238"/>
      <c r="C402" s="239"/>
      <c r="D402" s="54"/>
      <c r="E402" s="20"/>
      <c r="F402" s="240"/>
      <c r="G402" s="241"/>
      <c r="H402" s="242"/>
      <c r="I402" s="243"/>
      <c r="J402" s="239"/>
      <c r="K402" s="241"/>
      <c r="L402" s="52"/>
      <c r="M402" s="244"/>
      <c r="N402" s="245"/>
      <c r="O402" s="246"/>
      <c r="P402" s="247"/>
      <c r="Q402" s="248"/>
    </row>
    <row r="403" spans="1:17" ht="19.5" customHeight="1" x14ac:dyDescent="0.25">
      <c r="A403" s="237"/>
      <c r="B403" s="238"/>
      <c r="C403" s="239"/>
      <c r="D403" s="54"/>
      <c r="E403" s="20"/>
      <c r="F403" s="240"/>
      <c r="G403" s="241"/>
      <c r="H403" s="242"/>
      <c r="I403" s="243"/>
      <c r="J403" s="239"/>
      <c r="K403" s="241"/>
      <c r="L403" s="52"/>
      <c r="M403" s="244"/>
      <c r="N403" s="245"/>
      <c r="O403" s="246"/>
      <c r="P403" s="247"/>
      <c r="Q403" s="248"/>
    </row>
    <row r="404" spans="1:17" ht="19.5" customHeight="1" x14ac:dyDescent="0.25">
      <c r="A404" s="237"/>
      <c r="B404" s="238"/>
      <c r="C404" s="239"/>
      <c r="D404" s="54"/>
      <c r="E404" s="20"/>
      <c r="F404" s="240"/>
      <c r="G404" s="241"/>
      <c r="H404" s="242"/>
      <c r="I404" s="243"/>
      <c r="J404" s="239"/>
      <c r="K404" s="241"/>
      <c r="L404" s="52"/>
      <c r="M404" s="244"/>
      <c r="N404" s="245"/>
      <c r="O404" s="246"/>
      <c r="P404" s="247"/>
      <c r="Q404" s="248"/>
    </row>
    <row r="405" spans="1:17" ht="19.5" customHeight="1" x14ac:dyDescent="0.25">
      <c r="A405" s="237"/>
      <c r="B405" s="238"/>
      <c r="C405" s="239"/>
      <c r="D405" s="54"/>
      <c r="E405" s="20"/>
      <c r="F405" s="240"/>
      <c r="G405" s="241"/>
      <c r="H405" s="242"/>
      <c r="I405" s="243"/>
      <c r="J405" s="239"/>
      <c r="K405" s="241"/>
      <c r="L405" s="52"/>
      <c r="M405" s="244"/>
      <c r="N405" s="245"/>
      <c r="O405" s="246"/>
      <c r="P405" s="247"/>
      <c r="Q405" s="248"/>
    </row>
    <row r="406" spans="1:17" ht="19.5" customHeight="1" x14ac:dyDescent="0.25">
      <c r="A406" s="237"/>
      <c r="B406" s="238"/>
      <c r="C406" s="239"/>
      <c r="D406" s="54"/>
      <c r="E406" s="20"/>
      <c r="F406" s="240"/>
      <c r="G406" s="241"/>
      <c r="H406" s="242"/>
      <c r="I406" s="243"/>
      <c r="J406" s="239"/>
      <c r="K406" s="241"/>
      <c r="L406" s="52"/>
      <c r="M406" s="244"/>
      <c r="N406" s="245"/>
      <c r="O406" s="246"/>
      <c r="P406" s="247"/>
      <c r="Q406" s="248"/>
    </row>
    <row r="407" spans="1:17" ht="19.5" customHeight="1" x14ac:dyDescent="0.25">
      <c r="A407" s="237"/>
      <c r="B407" s="238"/>
      <c r="C407" s="239"/>
      <c r="D407" s="54"/>
      <c r="E407" s="20"/>
      <c r="F407" s="240"/>
      <c r="G407" s="241"/>
      <c r="H407" s="242"/>
      <c r="I407" s="243"/>
      <c r="J407" s="239"/>
      <c r="K407" s="241"/>
      <c r="L407" s="52"/>
      <c r="M407" s="244"/>
      <c r="N407" s="245"/>
      <c r="O407" s="246"/>
      <c r="P407" s="247"/>
      <c r="Q407" s="248"/>
    </row>
    <row r="408" spans="1:17" ht="19.5" customHeight="1" x14ac:dyDescent="0.25">
      <c r="A408" s="237"/>
      <c r="B408" s="238"/>
      <c r="C408" s="239"/>
      <c r="D408" s="54"/>
      <c r="E408" s="20"/>
      <c r="F408" s="240"/>
      <c r="G408" s="241"/>
      <c r="H408" s="242"/>
      <c r="I408" s="243"/>
      <c r="J408" s="239"/>
      <c r="K408" s="241"/>
      <c r="L408" s="52"/>
      <c r="M408" s="244"/>
      <c r="N408" s="245"/>
      <c r="O408" s="246"/>
      <c r="P408" s="247"/>
      <c r="Q408" s="248"/>
    </row>
    <row r="409" spans="1:17" ht="19.5" customHeight="1" x14ac:dyDescent="0.25">
      <c r="A409" s="237"/>
      <c r="B409" s="238"/>
      <c r="C409" s="239"/>
      <c r="D409" s="54"/>
      <c r="E409" s="20"/>
      <c r="F409" s="240"/>
      <c r="G409" s="241"/>
      <c r="H409" s="242"/>
      <c r="I409" s="243"/>
      <c r="J409" s="239"/>
      <c r="K409" s="241"/>
      <c r="L409" s="52"/>
      <c r="M409" s="244"/>
      <c r="N409" s="245"/>
      <c r="O409" s="246"/>
      <c r="P409" s="247"/>
      <c r="Q409" s="248"/>
    </row>
    <row r="410" spans="1:17" ht="19.5" customHeight="1" x14ac:dyDescent="0.25">
      <c r="A410" s="237"/>
      <c r="B410" s="238"/>
      <c r="C410" s="239"/>
      <c r="D410" s="54"/>
      <c r="E410" s="20"/>
      <c r="F410" s="240"/>
      <c r="G410" s="241"/>
      <c r="H410" s="242"/>
      <c r="I410" s="243"/>
      <c r="J410" s="239"/>
      <c r="K410" s="241"/>
      <c r="L410" s="52"/>
      <c r="M410" s="244"/>
      <c r="N410" s="245"/>
      <c r="O410" s="246"/>
      <c r="P410" s="247"/>
      <c r="Q410" s="248"/>
    </row>
    <row r="411" spans="1:17" ht="19.5" customHeight="1" x14ac:dyDescent="0.25">
      <c r="A411" s="237"/>
      <c r="B411" s="238"/>
      <c r="C411" s="239"/>
      <c r="D411" s="54"/>
      <c r="E411" s="20"/>
      <c r="F411" s="240"/>
      <c r="G411" s="241"/>
      <c r="H411" s="242"/>
      <c r="I411" s="243"/>
      <c r="J411" s="239"/>
      <c r="K411" s="241"/>
      <c r="L411" s="52"/>
      <c r="M411" s="244"/>
      <c r="N411" s="245"/>
      <c r="O411" s="246"/>
      <c r="P411" s="247"/>
      <c r="Q411" s="248"/>
    </row>
    <row r="412" spans="1:17" ht="19.5" customHeight="1" x14ac:dyDescent="0.25">
      <c r="A412" s="237"/>
      <c r="B412" s="238"/>
      <c r="C412" s="239"/>
      <c r="D412" s="54"/>
      <c r="E412" s="20"/>
      <c r="F412" s="240"/>
      <c r="G412" s="241"/>
      <c r="H412" s="242"/>
      <c r="I412" s="243"/>
      <c r="J412" s="239"/>
      <c r="K412" s="241"/>
      <c r="L412" s="52"/>
      <c r="M412" s="244"/>
      <c r="N412" s="245"/>
      <c r="O412" s="246"/>
      <c r="P412" s="247"/>
      <c r="Q412" s="248"/>
    </row>
    <row r="413" spans="1:17" ht="19.5" customHeight="1" x14ac:dyDescent="0.25">
      <c r="A413" s="237"/>
      <c r="B413" s="238"/>
      <c r="C413" s="239"/>
      <c r="D413" s="54"/>
      <c r="E413" s="20"/>
      <c r="F413" s="240"/>
      <c r="G413" s="241"/>
      <c r="H413" s="242"/>
      <c r="I413" s="243"/>
      <c r="J413" s="239"/>
      <c r="K413" s="241"/>
      <c r="L413" s="52"/>
      <c r="M413" s="244"/>
      <c r="N413" s="245"/>
      <c r="O413" s="246"/>
      <c r="P413" s="247"/>
      <c r="Q413" s="248"/>
    </row>
    <row r="414" spans="1:17" ht="19.5" customHeight="1" x14ac:dyDescent="0.25">
      <c r="A414" s="237"/>
      <c r="B414" s="238"/>
      <c r="C414" s="239"/>
      <c r="D414" s="54"/>
      <c r="E414" s="20"/>
      <c r="F414" s="240"/>
      <c r="G414" s="241"/>
      <c r="H414" s="242"/>
      <c r="I414" s="243"/>
      <c r="J414" s="239"/>
      <c r="K414" s="241"/>
      <c r="L414" s="52"/>
      <c r="M414" s="244"/>
      <c r="N414" s="245"/>
      <c r="O414" s="246"/>
      <c r="P414" s="247"/>
      <c r="Q414" s="248"/>
    </row>
    <row r="415" spans="1:17" ht="19.5" customHeight="1" x14ac:dyDescent="0.25">
      <c r="A415" s="237"/>
      <c r="B415" s="238"/>
      <c r="C415" s="239"/>
      <c r="D415" s="54"/>
      <c r="E415" s="20"/>
      <c r="F415" s="240"/>
      <c r="G415" s="241"/>
      <c r="H415" s="242"/>
      <c r="I415" s="243"/>
      <c r="J415" s="239"/>
      <c r="K415" s="241"/>
      <c r="L415" s="52"/>
      <c r="M415" s="244"/>
      <c r="N415" s="245"/>
      <c r="O415" s="246"/>
      <c r="P415" s="247"/>
      <c r="Q415" s="248"/>
    </row>
    <row r="416" spans="1:17" ht="19.5" customHeight="1" x14ac:dyDescent="0.25">
      <c r="A416" s="237"/>
      <c r="B416" s="238"/>
      <c r="C416" s="239"/>
      <c r="D416" s="54"/>
      <c r="E416" s="20"/>
      <c r="F416" s="240"/>
      <c r="G416" s="241"/>
      <c r="H416" s="242"/>
      <c r="I416" s="243"/>
      <c r="J416" s="239"/>
      <c r="K416" s="241"/>
      <c r="L416" s="52"/>
      <c r="M416" s="244"/>
      <c r="N416" s="245"/>
      <c r="O416" s="246"/>
      <c r="P416" s="247"/>
      <c r="Q416" s="248"/>
    </row>
    <row r="417" spans="1:17" ht="19.5" customHeight="1" x14ac:dyDescent="0.25">
      <c r="A417" s="237"/>
      <c r="B417" s="238"/>
      <c r="C417" s="239"/>
      <c r="D417" s="54"/>
      <c r="E417" s="20"/>
      <c r="F417" s="240"/>
      <c r="G417" s="241"/>
      <c r="H417" s="242"/>
      <c r="I417" s="243"/>
      <c r="J417" s="239"/>
      <c r="K417" s="241"/>
      <c r="L417" s="52"/>
      <c r="M417" s="244"/>
      <c r="N417" s="245"/>
      <c r="O417" s="246"/>
      <c r="P417" s="247"/>
      <c r="Q417" s="248"/>
    </row>
    <row r="418" spans="1:17" ht="19.5" customHeight="1" x14ac:dyDescent="0.25">
      <c r="A418" s="237"/>
      <c r="B418" s="238"/>
      <c r="C418" s="239"/>
      <c r="D418" s="54"/>
      <c r="E418" s="20"/>
      <c r="F418" s="240"/>
      <c r="G418" s="241"/>
      <c r="H418" s="242"/>
      <c r="I418" s="243"/>
      <c r="J418" s="239"/>
      <c r="K418" s="241"/>
      <c r="L418" s="52"/>
      <c r="M418" s="244"/>
      <c r="N418" s="245"/>
      <c r="O418" s="246"/>
      <c r="P418" s="247"/>
      <c r="Q418" s="248"/>
    </row>
    <row r="419" spans="1:17" ht="19.5" customHeight="1" x14ac:dyDescent="0.25">
      <c r="A419" s="237"/>
      <c r="B419" s="238"/>
      <c r="C419" s="239"/>
      <c r="D419" s="54"/>
      <c r="E419" s="20"/>
      <c r="F419" s="240"/>
      <c r="G419" s="241"/>
      <c r="H419" s="242"/>
      <c r="I419" s="243"/>
      <c r="J419" s="239"/>
      <c r="K419" s="241"/>
      <c r="L419" s="52"/>
      <c r="M419" s="244"/>
      <c r="N419" s="245"/>
      <c r="O419" s="246"/>
      <c r="P419" s="247"/>
      <c r="Q419" s="248"/>
    </row>
    <row r="420" spans="1:17" ht="19.5" customHeight="1" x14ac:dyDescent="0.25">
      <c r="A420" s="237"/>
      <c r="B420" s="238"/>
      <c r="C420" s="239"/>
      <c r="D420" s="54"/>
      <c r="E420" s="20"/>
      <c r="F420" s="240"/>
      <c r="G420" s="241"/>
      <c r="H420" s="242"/>
      <c r="I420" s="243"/>
      <c r="J420" s="239"/>
      <c r="K420" s="241"/>
      <c r="L420" s="52"/>
      <c r="M420" s="244"/>
      <c r="N420" s="245"/>
      <c r="O420" s="246"/>
      <c r="P420" s="247"/>
      <c r="Q420" s="248"/>
    </row>
    <row r="421" spans="1:17" ht="19.5" customHeight="1" x14ac:dyDescent="0.25">
      <c r="A421" s="237"/>
      <c r="B421" s="238"/>
      <c r="C421" s="239"/>
      <c r="D421" s="54"/>
      <c r="E421" s="20"/>
      <c r="F421" s="240"/>
      <c r="G421" s="241"/>
      <c r="H421" s="242"/>
      <c r="I421" s="243"/>
      <c r="J421" s="239"/>
      <c r="K421" s="241"/>
      <c r="L421" s="52"/>
      <c r="M421" s="244"/>
      <c r="N421" s="245"/>
      <c r="O421" s="246"/>
      <c r="P421" s="247"/>
      <c r="Q421" s="248"/>
    </row>
    <row r="422" spans="1:17" ht="19.5" customHeight="1" x14ac:dyDescent="0.25">
      <c r="A422" s="237"/>
      <c r="B422" s="238"/>
      <c r="C422" s="239"/>
      <c r="D422" s="54"/>
      <c r="E422" s="20"/>
      <c r="F422" s="240"/>
      <c r="G422" s="241"/>
      <c r="H422" s="242"/>
      <c r="I422" s="243"/>
      <c r="J422" s="239"/>
      <c r="K422" s="241"/>
      <c r="L422" s="52"/>
      <c r="M422" s="244"/>
      <c r="N422" s="245"/>
      <c r="O422" s="246"/>
      <c r="P422" s="247"/>
      <c r="Q422" s="248"/>
    </row>
    <row r="423" spans="1:17" ht="19.5" customHeight="1" x14ac:dyDescent="0.25">
      <c r="A423" s="237"/>
      <c r="B423" s="238"/>
      <c r="C423" s="239"/>
      <c r="D423" s="54"/>
      <c r="E423" s="20"/>
      <c r="F423" s="240"/>
      <c r="G423" s="241"/>
      <c r="H423" s="242"/>
      <c r="I423" s="243"/>
      <c r="J423" s="239"/>
      <c r="K423" s="241"/>
      <c r="L423" s="52"/>
      <c r="M423" s="244"/>
      <c r="N423" s="245"/>
      <c r="O423" s="246"/>
      <c r="P423" s="247"/>
      <c r="Q423" s="248"/>
    </row>
    <row r="424" spans="1:17" ht="19.5" customHeight="1" x14ac:dyDescent="0.25">
      <c r="A424" s="237"/>
      <c r="B424" s="238"/>
      <c r="C424" s="239"/>
      <c r="D424" s="54"/>
      <c r="E424" s="20"/>
      <c r="F424" s="240"/>
      <c r="G424" s="241"/>
      <c r="H424" s="242"/>
      <c r="I424" s="243"/>
      <c r="J424" s="239"/>
      <c r="K424" s="241"/>
      <c r="L424" s="52"/>
      <c r="M424" s="244"/>
      <c r="N424" s="245"/>
      <c r="O424" s="246"/>
      <c r="P424" s="247"/>
      <c r="Q424" s="248"/>
    </row>
    <row r="425" spans="1:17" ht="19.5" customHeight="1" x14ac:dyDescent="0.25">
      <c r="A425" s="237"/>
      <c r="B425" s="238"/>
      <c r="C425" s="239"/>
      <c r="D425" s="54"/>
      <c r="E425" s="20"/>
      <c r="F425" s="240"/>
      <c r="G425" s="241"/>
      <c r="H425" s="242"/>
      <c r="I425" s="243"/>
      <c r="J425" s="239"/>
      <c r="K425" s="241"/>
      <c r="L425" s="52"/>
      <c r="M425" s="244"/>
      <c r="N425" s="245"/>
      <c r="O425" s="246"/>
      <c r="P425" s="247"/>
      <c r="Q425" s="248"/>
    </row>
    <row r="426" spans="1:17" ht="19.5" customHeight="1" x14ac:dyDescent="0.25">
      <c r="A426" s="237"/>
      <c r="B426" s="238"/>
      <c r="C426" s="239"/>
      <c r="D426" s="54"/>
      <c r="E426" s="20"/>
      <c r="F426" s="240"/>
      <c r="G426" s="241"/>
      <c r="H426" s="242"/>
      <c r="I426" s="243"/>
      <c r="J426" s="239"/>
      <c r="K426" s="241"/>
      <c r="L426" s="52"/>
      <c r="M426" s="244"/>
      <c r="N426" s="245"/>
      <c r="O426" s="246"/>
      <c r="P426" s="247"/>
      <c r="Q426" s="248"/>
    </row>
    <row r="427" spans="1:17" ht="19.5" customHeight="1" x14ac:dyDescent="0.25">
      <c r="A427" s="237"/>
      <c r="B427" s="238"/>
      <c r="C427" s="239"/>
      <c r="D427" s="54"/>
      <c r="E427" s="20"/>
      <c r="F427" s="240"/>
      <c r="G427" s="241"/>
      <c r="H427" s="242"/>
      <c r="I427" s="243"/>
      <c r="J427" s="239"/>
      <c r="K427" s="241"/>
      <c r="L427" s="52"/>
      <c r="M427" s="244"/>
      <c r="N427" s="245"/>
      <c r="O427" s="246"/>
      <c r="P427" s="247"/>
      <c r="Q427" s="248"/>
    </row>
    <row r="428" spans="1:17" ht="19.5" customHeight="1" x14ac:dyDescent="0.25">
      <c r="A428" s="237"/>
      <c r="B428" s="238"/>
      <c r="C428" s="239"/>
      <c r="D428" s="54"/>
      <c r="E428" s="20"/>
      <c r="F428" s="240"/>
      <c r="G428" s="241"/>
      <c r="H428" s="242"/>
      <c r="I428" s="243"/>
      <c r="J428" s="239"/>
      <c r="K428" s="241"/>
      <c r="L428" s="52"/>
      <c r="M428" s="244"/>
      <c r="N428" s="245"/>
      <c r="O428" s="246"/>
      <c r="P428" s="247"/>
      <c r="Q428" s="248"/>
    </row>
    <row r="429" spans="1:17" ht="19.5" customHeight="1" x14ac:dyDescent="0.25">
      <c r="A429" s="237"/>
      <c r="B429" s="238"/>
      <c r="C429" s="239"/>
      <c r="D429" s="54"/>
      <c r="E429" s="20"/>
      <c r="F429" s="240"/>
      <c r="G429" s="241"/>
      <c r="H429" s="242"/>
      <c r="I429" s="243"/>
      <c r="J429" s="239"/>
      <c r="K429" s="241"/>
      <c r="L429" s="52"/>
      <c r="M429" s="244"/>
      <c r="N429" s="245"/>
      <c r="O429" s="246"/>
      <c r="P429" s="247"/>
      <c r="Q429" s="248"/>
    </row>
    <row r="430" spans="1:17" ht="19.5" customHeight="1" x14ac:dyDescent="0.25">
      <c r="A430" s="237"/>
      <c r="B430" s="238"/>
      <c r="C430" s="239"/>
      <c r="D430" s="54"/>
      <c r="E430" s="20"/>
      <c r="F430" s="240"/>
      <c r="G430" s="241"/>
      <c r="H430" s="242"/>
      <c r="I430" s="243"/>
      <c r="J430" s="239"/>
      <c r="K430" s="241"/>
      <c r="L430" s="52"/>
      <c r="M430" s="244"/>
      <c r="N430" s="245"/>
      <c r="O430" s="246"/>
      <c r="P430" s="247"/>
      <c r="Q430" s="248"/>
    </row>
    <row r="431" spans="1:17" ht="19.5" customHeight="1" x14ac:dyDescent="0.25">
      <c r="A431" s="237"/>
      <c r="B431" s="238"/>
      <c r="C431" s="239"/>
      <c r="D431" s="54"/>
      <c r="E431" s="20"/>
      <c r="F431" s="240"/>
      <c r="G431" s="241"/>
      <c r="H431" s="242"/>
      <c r="I431" s="243"/>
      <c r="J431" s="239"/>
      <c r="K431" s="241"/>
      <c r="L431" s="52"/>
      <c r="M431" s="244"/>
      <c r="N431" s="245"/>
      <c r="O431" s="246"/>
      <c r="P431" s="247"/>
      <c r="Q431" s="248"/>
    </row>
    <row r="432" spans="1:17" ht="19.5" customHeight="1" x14ac:dyDescent="0.25">
      <c r="A432" s="237"/>
      <c r="B432" s="238"/>
      <c r="C432" s="239"/>
      <c r="D432" s="54"/>
      <c r="E432" s="20"/>
      <c r="F432" s="240"/>
      <c r="G432" s="241"/>
      <c r="H432" s="242"/>
      <c r="I432" s="243"/>
      <c r="J432" s="239"/>
      <c r="K432" s="241"/>
      <c r="L432" s="52"/>
      <c r="M432" s="244"/>
      <c r="N432" s="245"/>
      <c r="O432" s="246"/>
      <c r="P432" s="247"/>
      <c r="Q432" s="248"/>
    </row>
    <row r="433" spans="1:17" ht="19.5" customHeight="1" x14ac:dyDescent="0.25">
      <c r="A433" s="237"/>
      <c r="B433" s="238"/>
      <c r="C433" s="239"/>
      <c r="D433" s="54"/>
      <c r="E433" s="19"/>
      <c r="F433" s="240"/>
      <c r="G433" s="241"/>
      <c r="H433" s="242"/>
      <c r="I433" s="243"/>
      <c r="J433" s="239"/>
      <c r="K433" s="241"/>
      <c r="L433" s="52"/>
      <c r="M433" s="244"/>
      <c r="N433" s="245"/>
      <c r="O433" s="246"/>
      <c r="P433" s="247"/>
      <c r="Q433" s="248"/>
    </row>
    <row r="434" spans="1:17" ht="19.5" customHeight="1" x14ac:dyDescent="0.25">
      <c r="A434" s="237"/>
      <c r="B434" s="238"/>
      <c r="C434" s="239"/>
      <c r="D434" s="54"/>
      <c r="E434" s="19"/>
      <c r="F434" s="240"/>
      <c r="G434" s="241"/>
      <c r="H434" s="242"/>
      <c r="I434" s="243"/>
      <c r="J434" s="239"/>
      <c r="K434" s="241"/>
      <c r="L434" s="52"/>
      <c r="M434" s="244"/>
      <c r="N434" s="245"/>
      <c r="O434" s="246"/>
      <c r="P434" s="247"/>
      <c r="Q434" s="248"/>
    </row>
    <row r="435" spans="1:17" ht="19.5" customHeight="1" x14ac:dyDescent="0.25">
      <c r="A435" s="237"/>
      <c r="B435" s="238"/>
      <c r="C435" s="239"/>
      <c r="D435" s="54"/>
      <c r="E435" s="19"/>
      <c r="F435" s="240"/>
      <c r="G435" s="241"/>
      <c r="H435" s="242"/>
      <c r="I435" s="243"/>
      <c r="J435" s="239"/>
      <c r="K435" s="241"/>
      <c r="L435" s="52"/>
      <c r="M435" s="244"/>
      <c r="N435" s="245"/>
      <c r="O435" s="246"/>
      <c r="P435" s="247"/>
      <c r="Q435" s="248"/>
    </row>
    <row r="436" spans="1:17" ht="19.5" customHeight="1" x14ac:dyDescent="0.25">
      <c r="A436" s="237"/>
      <c r="B436" s="238"/>
      <c r="C436" s="239"/>
      <c r="D436" s="54"/>
      <c r="E436" s="19"/>
      <c r="F436" s="240"/>
      <c r="G436" s="241"/>
      <c r="H436" s="242"/>
      <c r="I436" s="243"/>
      <c r="J436" s="239"/>
      <c r="K436" s="241"/>
      <c r="L436" s="52"/>
      <c r="M436" s="244"/>
      <c r="N436" s="245"/>
      <c r="O436" s="246"/>
      <c r="P436" s="247"/>
      <c r="Q436" s="248"/>
    </row>
    <row r="437" spans="1:17" ht="19.5" customHeight="1" x14ac:dyDescent="0.25">
      <c r="A437" s="237"/>
      <c r="B437" s="238"/>
      <c r="C437" s="239"/>
      <c r="D437" s="54"/>
      <c r="E437" s="19"/>
      <c r="F437" s="240"/>
      <c r="G437" s="241"/>
      <c r="H437" s="242"/>
      <c r="I437" s="243"/>
      <c r="J437" s="239"/>
      <c r="K437" s="241"/>
      <c r="L437" s="52"/>
      <c r="M437" s="244"/>
      <c r="N437" s="245"/>
      <c r="O437" s="246"/>
      <c r="P437" s="247"/>
      <c r="Q437" s="248"/>
    </row>
    <row r="438" spans="1:17" ht="19.5" customHeight="1" x14ac:dyDescent="0.25">
      <c r="A438" s="237"/>
      <c r="B438" s="238"/>
      <c r="C438" s="239"/>
      <c r="D438" s="54"/>
      <c r="E438" s="19"/>
      <c r="F438" s="240"/>
      <c r="G438" s="241"/>
      <c r="H438" s="242"/>
      <c r="I438" s="243"/>
      <c r="J438" s="239"/>
      <c r="K438" s="241"/>
      <c r="L438" s="52"/>
      <c r="M438" s="244"/>
      <c r="N438" s="245"/>
      <c r="O438" s="246"/>
      <c r="P438" s="247"/>
      <c r="Q438" s="248"/>
    </row>
    <row r="439" spans="1:17" ht="19.5" customHeight="1" x14ac:dyDescent="0.25">
      <c r="A439" s="237"/>
      <c r="B439" s="238"/>
      <c r="C439" s="239"/>
      <c r="D439" s="54"/>
      <c r="E439" s="19"/>
      <c r="F439" s="240"/>
      <c r="G439" s="241"/>
      <c r="H439" s="242"/>
      <c r="I439" s="243"/>
      <c r="J439" s="239"/>
      <c r="K439" s="241"/>
      <c r="L439" s="52"/>
      <c r="M439" s="244"/>
      <c r="N439" s="245"/>
      <c r="O439" s="246"/>
      <c r="P439" s="247"/>
      <c r="Q439" s="248"/>
    </row>
    <row r="440" spans="1:17" ht="19.5" customHeight="1" x14ac:dyDescent="0.25">
      <c r="A440" s="237"/>
      <c r="B440" s="238"/>
      <c r="C440" s="239"/>
      <c r="D440" s="54"/>
      <c r="E440" s="19"/>
      <c r="F440" s="240"/>
      <c r="G440" s="241"/>
      <c r="H440" s="242"/>
      <c r="I440" s="243"/>
      <c r="J440" s="239"/>
      <c r="K440" s="241"/>
      <c r="L440" s="52"/>
      <c r="M440" s="244"/>
      <c r="N440" s="245"/>
      <c r="O440" s="246"/>
      <c r="P440" s="247"/>
      <c r="Q440" s="248"/>
    </row>
    <row r="441" spans="1:17" ht="19.5" customHeight="1" x14ac:dyDescent="0.25">
      <c r="A441" s="237"/>
      <c r="B441" s="238"/>
      <c r="C441" s="239"/>
      <c r="D441" s="54"/>
      <c r="E441" s="19"/>
      <c r="F441" s="240"/>
      <c r="G441" s="241"/>
      <c r="H441" s="242"/>
      <c r="I441" s="243"/>
      <c r="J441" s="239"/>
      <c r="K441" s="241"/>
      <c r="L441" s="52"/>
      <c r="M441" s="244"/>
      <c r="N441" s="245"/>
      <c r="O441" s="246"/>
      <c r="P441" s="247"/>
      <c r="Q441" s="248"/>
    </row>
    <row r="442" spans="1:17" ht="19.5" customHeight="1" x14ac:dyDescent="0.25">
      <c r="A442" s="149"/>
      <c r="B442" s="150"/>
      <c r="C442" s="151"/>
      <c r="D442" s="152"/>
      <c r="E442" s="153"/>
      <c r="F442" s="154"/>
      <c r="G442" s="155"/>
      <c r="H442" s="156"/>
      <c r="I442" s="157"/>
      <c r="J442" s="151"/>
      <c r="K442" s="155"/>
      <c r="L442" s="158"/>
      <c r="M442" s="159"/>
      <c r="N442" s="160"/>
      <c r="O442" s="161"/>
      <c r="P442" s="162"/>
      <c r="Q442" s="163"/>
    </row>
    <row r="443" spans="1:17" ht="19.5" customHeight="1" x14ac:dyDescent="0.25">
      <c r="A443" s="149"/>
      <c r="B443" s="150"/>
      <c r="C443" s="151"/>
      <c r="D443" s="152"/>
      <c r="E443" s="153"/>
      <c r="F443" s="154"/>
      <c r="G443" s="155"/>
      <c r="H443" s="156"/>
      <c r="I443" s="157"/>
      <c r="J443" s="151"/>
      <c r="K443" s="155"/>
      <c r="L443" s="158"/>
      <c r="M443" s="159"/>
      <c r="N443" s="160"/>
      <c r="O443" s="161"/>
      <c r="P443" s="162"/>
      <c r="Q443" s="163"/>
    </row>
    <row r="444" spans="1:17" ht="19.5" customHeight="1" x14ac:dyDescent="0.25">
      <c r="A444" s="164"/>
      <c r="B444" s="165"/>
      <c r="C444" s="166"/>
      <c r="D444" s="167"/>
      <c r="E444" s="168"/>
      <c r="F444" s="169"/>
      <c r="G444" s="170"/>
      <c r="H444" s="171"/>
      <c r="I444" s="172"/>
      <c r="J444" s="166"/>
      <c r="K444" s="170"/>
      <c r="L444" s="173"/>
      <c r="M444" s="174"/>
      <c r="N444" s="175"/>
      <c r="O444" s="176"/>
      <c r="P444" s="177"/>
      <c r="Q444" s="178"/>
    </row>
    <row r="445" spans="1:17" ht="19.5" customHeight="1" x14ac:dyDescent="0.25">
      <c r="A445" s="237"/>
      <c r="B445" s="238"/>
      <c r="C445" s="239"/>
      <c r="D445" s="54"/>
      <c r="E445" s="20"/>
      <c r="F445" s="240"/>
      <c r="G445" s="241"/>
      <c r="H445" s="242"/>
      <c r="I445" s="243"/>
      <c r="J445" s="239"/>
      <c r="K445" s="241"/>
      <c r="L445" s="52"/>
      <c r="M445" s="244"/>
      <c r="N445" s="245"/>
      <c r="O445" s="246"/>
      <c r="P445" s="247"/>
      <c r="Q445" s="248"/>
    </row>
    <row r="446" spans="1:17" ht="19.5" customHeight="1" x14ac:dyDescent="0.25">
      <c r="A446" s="237"/>
      <c r="B446" s="238"/>
      <c r="C446" s="239"/>
      <c r="D446" s="54"/>
      <c r="E446" s="19"/>
      <c r="F446" s="240"/>
      <c r="G446" s="241"/>
      <c r="H446" s="242"/>
      <c r="I446" s="243"/>
      <c r="J446" s="239"/>
      <c r="K446" s="241"/>
      <c r="L446" s="52"/>
      <c r="M446" s="244"/>
      <c r="N446" s="245"/>
      <c r="O446" s="246"/>
      <c r="P446" s="247"/>
      <c r="Q446" s="248"/>
    </row>
    <row r="447" spans="1:17" ht="19.5" customHeight="1" x14ac:dyDescent="0.25">
      <c r="A447" s="237"/>
      <c r="B447" s="238"/>
      <c r="C447" s="239"/>
      <c r="D447" s="54"/>
      <c r="E447" s="20"/>
      <c r="F447" s="240"/>
      <c r="G447" s="241"/>
      <c r="H447" s="242"/>
      <c r="I447" s="243"/>
      <c r="J447" s="239"/>
      <c r="K447" s="241"/>
      <c r="L447" s="52"/>
      <c r="M447" s="244"/>
      <c r="N447" s="245"/>
      <c r="O447" s="246"/>
      <c r="P447" s="247"/>
      <c r="Q447" s="248"/>
    </row>
    <row r="448" spans="1:17" ht="19.5" customHeight="1" x14ac:dyDescent="0.25">
      <c r="A448" s="237"/>
      <c r="B448" s="238"/>
      <c r="C448" s="239"/>
      <c r="D448" s="54"/>
      <c r="E448" s="20"/>
      <c r="F448" s="240"/>
      <c r="G448" s="241"/>
      <c r="H448" s="242"/>
      <c r="I448" s="243"/>
      <c r="J448" s="239"/>
      <c r="K448" s="241"/>
      <c r="L448" s="52"/>
      <c r="M448" s="244"/>
      <c r="N448" s="245"/>
      <c r="O448" s="246"/>
      <c r="P448" s="247"/>
      <c r="Q448" s="248"/>
    </row>
    <row r="449" spans="1:17" ht="19.5" customHeight="1" x14ac:dyDescent="0.25">
      <c r="A449" s="237"/>
      <c r="B449" s="238"/>
      <c r="C449" s="239"/>
      <c r="D449" s="54"/>
      <c r="E449" s="20"/>
      <c r="F449" s="240"/>
      <c r="G449" s="241"/>
      <c r="H449" s="242"/>
      <c r="I449" s="243"/>
      <c r="J449" s="239"/>
      <c r="K449" s="241"/>
      <c r="L449" s="52"/>
      <c r="M449" s="244"/>
      <c r="N449" s="245"/>
      <c r="O449" s="246"/>
      <c r="P449" s="247"/>
      <c r="Q449" s="248"/>
    </row>
    <row r="450" spans="1:17" ht="19.5" customHeight="1" x14ac:dyDescent="0.25">
      <c r="A450" s="237"/>
      <c r="B450" s="238"/>
      <c r="C450" s="239"/>
      <c r="D450" s="54"/>
      <c r="E450" s="20"/>
      <c r="F450" s="240"/>
      <c r="G450" s="241"/>
      <c r="H450" s="242"/>
      <c r="I450" s="243"/>
      <c r="J450" s="239"/>
      <c r="K450" s="241"/>
      <c r="L450" s="52"/>
      <c r="M450" s="244"/>
      <c r="N450" s="245"/>
      <c r="O450" s="246"/>
      <c r="P450" s="247"/>
      <c r="Q450" s="248"/>
    </row>
    <row r="451" spans="1:17" ht="19.5" customHeight="1" x14ac:dyDescent="0.25">
      <c r="A451" s="237"/>
      <c r="B451" s="238"/>
      <c r="C451" s="239"/>
      <c r="D451" s="54"/>
      <c r="E451" s="20"/>
      <c r="F451" s="240"/>
      <c r="G451" s="241"/>
      <c r="H451" s="242"/>
      <c r="I451" s="243"/>
      <c r="J451" s="239"/>
      <c r="K451" s="241"/>
      <c r="L451" s="52"/>
      <c r="M451" s="244"/>
      <c r="N451" s="245"/>
      <c r="O451" s="246"/>
      <c r="P451" s="247"/>
      <c r="Q451" s="248"/>
    </row>
    <row r="452" spans="1:17" ht="19.5" customHeight="1" x14ac:dyDescent="0.25">
      <c r="A452" s="237"/>
      <c r="B452" s="238"/>
      <c r="C452" s="237"/>
      <c r="D452" s="54"/>
      <c r="E452" s="20"/>
      <c r="F452" s="240"/>
      <c r="G452" s="241"/>
      <c r="H452" s="242"/>
      <c r="I452" s="243"/>
      <c r="J452" s="239"/>
      <c r="K452" s="241"/>
      <c r="L452" s="52"/>
      <c r="M452" s="244"/>
      <c r="N452" s="245"/>
      <c r="O452" s="246"/>
      <c r="P452" s="247"/>
      <c r="Q452" s="248"/>
    </row>
    <row r="453" spans="1:17" ht="19.5" customHeight="1" x14ac:dyDescent="0.25">
      <c r="A453" s="237"/>
      <c r="B453" s="238"/>
      <c r="C453" s="237"/>
      <c r="D453" s="54"/>
      <c r="E453" s="20"/>
      <c r="F453" s="240"/>
      <c r="G453" s="241"/>
      <c r="H453" s="242"/>
      <c r="I453" s="243"/>
      <c r="J453" s="239"/>
      <c r="K453" s="241"/>
      <c r="L453" s="52"/>
      <c r="M453" s="244"/>
      <c r="N453" s="245"/>
      <c r="O453" s="246"/>
      <c r="P453" s="247"/>
      <c r="Q453" s="248"/>
    </row>
    <row r="454" spans="1:17" ht="19.5" customHeight="1" x14ac:dyDescent="0.25">
      <c r="A454" s="237"/>
      <c r="B454" s="238"/>
      <c r="C454" s="239"/>
      <c r="D454" s="54"/>
      <c r="E454" s="19"/>
      <c r="F454" s="240"/>
      <c r="G454" s="241"/>
      <c r="H454" s="242"/>
      <c r="I454" s="243"/>
      <c r="J454" s="239"/>
      <c r="K454" s="241"/>
      <c r="L454" s="52"/>
      <c r="M454" s="244"/>
      <c r="N454" s="245"/>
      <c r="O454" s="246"/>
      <c r="P454" s="247"/>
      <c r="Q454" s="248"/>
    </row>
    <row r="455" spans="1:17" ht="19.5" customHeight="1" x14ac:dyDescent="0.25">
      <c r="A455" s="237"/>
      <c r="B455" s="238"/>
      <c r="C455" s="239"/>
      <c r="D455" s="54"/>
      <c r="E455" s="20"/>
      <c r="F455" s="240"/>
      <c r="G455" s="241"/>
      <c r="H455" s="242"/>
      <c r="I455" s="243"/>
      <c r="J455" s="239"/>
      <c r="K455" s="241"/>
      <c r="L455" s="52"/>
      <c r="M455" s="244"/>
      <c r="N455" s="245"/>
      <c r="O455" s="246"/>
      <c r="P455" s="247"/>
      <c r="Q455" s="248"/>
    </row>
    <row r="456" spans="1:17" ht="19.5" customHeight="1" x14ac:dyDescent="0.25">
      <c r="A456" s="237"/>
      <c r="B456" s="238"/>
      <c r="C456" s="239"/>
      <c r="D456" s="54"/>
      <c r="E456" s="20"/>
      <c r="F456" s="240"/>
      <c r="G456" s="241"/>
      <c r="H456" s="242"/>
      <c r="I456" s="243"/>
      <c r="J456" s="239"/>
      <c r="K456" s="241"/>
      <c r="L456" s="52"/>
      <c r="M456" s="244"/>
      <c r="N456" s="245"/>
      <c r="O456" s="246"/>
      <c r="P456" s="247"/>
      <c r="Q456" s="248"/>
    </row>
    <row r="457" spans="1:17" ht="19.5" customHeight="1" x14ac:dyDescent="0.25">
      <c r="A457" s="237"/>
      <c r="B457" s="238"/>
      <c r="C457" s="239"/>
      <c r="D457" s="54"/>
      <c r="E457" s="20"/>
      <c r="F457" s="240"/>
      <c r="G457" s="241"/>
      <c r="H457" s="242"/>
      <c r="I457" s="243"/>
      <c r="J457" s="239"/>
      <c r="K457" s="241"/>
      <c r="L457" s="52"/>
      <c r="M457" s="244"/>
      <c r="N457" s="245"/>
      <c r="O457" s="246"/>
      <c r="P457" s="247"/>
      <c r="Q457" s="248"/>
    </row>
    <row r="458" spans="1:17" ht="19.5" customHeight="1" x14ac:dyDescent="0.25">
      <c r="A458" s="237"/>
      <c r="B458" s="238"/>
      <c r="C458" s="239"/>
      <c r="D458" s="54"/>
      <c r="E458" s="19"/>
      <c r="F458" s="240"/>
      <c r="G458" s="241"/>
      <c r="H458" s="242"/>
      <c r="I458" s="243"/>
      <c r="J458" s="239"/>
      <c r="K458" s="241"/>
      <c r="L458" s="52"/>
      <c r="M458" s="244"/>
      <c r="N458" s="245"/>
      <c r="O458" s="246"/>
      <c r="P458" s="247"/>
      <c r="Q458" s="248"/>
    </row>
    <row r="459" spans="1:17" ht="19.5" customHeight="1" x14ac:dyDescent="0.25">
      <c r="A459" s="237"/>
      <c r="B459" s="238"/>
      <c r="C459" s="239"/>
      <c r="D459" s="54"/>
      <c r="E459" s="20"/>
      <c r="F459" s="240"/>
      <c r="G459" s="241"/>
      <c r="H459" s="242"/>
      <c r="I459" s="243"/>
      <c r="J459" s="239"/>
      <c r="K459" s="241"/>
      <c r="L459" s="52"/>
      <c r="M459" s="244"/>
      <c r="N459" s="245"/>
      <c r="O459" s="246"/>
      <c r="P459" s="247"/>
      <c r="Q459" s="248"/>
    </row>
    <row r="460" spans="1:17" ht="19.5" customHeight="1" x14ac:dyDescent="0.25">
      <c r="A460" s="237"/>
      <c r="B460" s="238"/>
      <c r="C460" s="239"/>
      <c r="D460" s="54"/>
      <c r="E460" s="20"/>
      <c r="F460" s="240"/>
      <c r="G460" s="241"/>
      <c r="H460" s="242"/>
      <c r="I460" s="243"/>
      <c r="J460" s="239"/>
      <c r="K460" s="241"/>
      <c r="L460" s="52"/>
      <c r="M460" s="244"/>
      <c r="N460" s="245"/>
      <c r="O460" s="246"/>
      <c r="P460" s="247"/>
      <c r="Q460" s="248"/>
    </row>
    <row r="461" spans="1:17" ht="19.5" customHeight="1" x14ac:dyDescent="0.25">
      <c r="A461" s="237"/>
      <c r="B461" s="238"/>
      <c r="C461" s="239"/>
      <c r="D461" s="54"/>
      <c r="E461" s="20"/>
      <c r="F461" s="240"/>
      <c r="G461" s="241"/>
      <c r="H461" s="242"/>
      <c r="I461" s="243"/>
      <c r="J461" s="239"/>
      <c r="K461" s="241"/>
      <c r="L461" s="52"/>
      <c r="M461" s="244"/>
      <c r="N461" s="245"/>
      <c r="O461" s="246"/>
      <c r="P461" s="247"/>
      <c r="Q461" s="248"/>
    </row>
    <row r="462" spans="1:17" ht="19.5" customHeight="1" x14ac:dyDescent="0.25">
      <c r="A462" s="237"/>
      <c r="B462" s="238"/>
      <c r="C462" s="239"/>
      <c r="D462" s="54"/>
      <c r="E462" s="20"/>
      <c r="F462" s="240"/>
      <c r="G462" s="241"/>
      <c r="H462" s="242"/>
      <c r="I462" s="243"/>
      <c r="J462" s="239"/>
      <c r="K462" s="241"/>
      <c r="L462" s="52"/>
      <c r="M462" s="244"/>
      <c r="N462" s="245"/>
      <c r="O462" s="246"/>
      <c r="P462" s="247"/>
      <c r="Q462" s="248"/>
    </row>
    <row r="463" spans="1:17" ht="19.5" customHeight="1" x14ac:dyDescent="0.25">
      <c r="A463" s="237"/>
      <c r="B463" s="238"/>
      <c r="C463" s="239"/>
      <c r="D463" s="54"/>
      <c r="E463" s="20"/>
      <c r="F463" s="240"/>
      <c r="G463" s="241"/>
      <c r="H463" s="242"/>
      <c r="I463" s="243"/>
      <c r="J463" s="239"/>
      <c r="K463" s="241"/>
      <c r="L463" s="52"/>
      <c r="M463" s="244"/>
      <c r="N463" s="245"/>
      <c r="O463" s="246"/>
      <c r="P463" s="247"/>
      <c r="Q463" s="248"/>
    </row>
    <row r="464" spans="1:17" ht="19.5" customHeight="1" x14ac:dyDescent="0.25">
      <c r="A464" s="237"/>
      <c r="B464" s="238"/>
      <c r="C464" s="239"/>
      <c r="D464" s="54"/>
      <c r="E464" s="20"/>
      <c r="F464" s="240"/>
      <c r="G464" s="241"/>
      <c r="H464" s="242"/>
      <c r="I464" s="243"/>
      <c r="J464" s="239"/>
      <c r="K464" s="241"/>
      <c r="L464" s="52"/>
      <c r="M464" s="244"/>
      <c r="N464" s="245"/>
      <c r="O464" s="246"/>
      <c r="P464" s="247"/>
      <c r="Q464" s="248"/>
    </row>
    <row r="465" spans="1:17" ht="19.5" customHeight="1" x14ac:dyDescent="0.25">
      <c r="A465" s="237"/>
      <c r="B465" s="238"/>
      <c r="C465" s="239"/>
      <c r="D465" s="54"/>
      <c r="E465" s="20"/>
      <c r="F465" s="240"/>
      <c r="G465" s="241"/>
      <c r="H465" s="242"/>
      <c r="I465" s="243"/>
      <c r="J465" s="239"/>
      <c r="K465" s="241"/>
      <c r="L465" s="52"/>
      <c r="M465" s="244"/>
      <c r="N465" s="245"/>
      <c r="O465" s="246"/>
      <c r="P465" s="247"/>
      <c r="Q465" s="248"/>
    </row>
    <row r="466" spans="1:17" ht="19.5" customHeight="1" x14ac:dyDescent="0.25">
      <c r="A466" s="237"/>
      <c r="B466" s="238"/>
      <c r="C466" s="239"/>
      <c r="D466" s="54"/>
      <c r="E466" s="20"/>
      <c r="F466" s="240"/>
      <c r="G466" s="241"/>
      <c r="H466" s="242"/>
      <c r="I466" s="243"/>
      <c r="J466" s="239"/>
      <c r="K466" s="241"/>
      <c r="L466" s="52"/>
      <c r="M466" s="244"/>
      <c r="N466" s="245"/>
      <c r="O466" s="246"/>
      <c r="P466" s="247"/>
      <c r="Q466" s="248"/>
    </row>
    <row r="467" spans="1:17" ht="19.5" customHeight="1" x14ac:dyDescent="0.25">
      <c r="A467" s="237"/>
      <c r="B467" s="238"/>
      <c r="C467" s="239"/>
      <c r="D467" s="54"/>
      <c r="E467" s="20"/>
      <c r="F467" s="240"/>
      <c r="G467" s="241"/>
      <c r="H467" s="242"/>
      <c r="I467" s="243"/>
      <c r="J467" s="239"/>
      <c r="K467" s="241"/>
      <c r="L467" s="52"/>
      <c r="M467" s="244"/>
      <c r="N467" s="245"/>
      <c r="O467" s="246"/>
      <c r="P467" s="247"/>
      <c r="Q467" s="248"/>
    </row>
    <row r="468" spans="1:17" ht="19.5" customHeight="1" x14ac:dyDescent="0.25">
      <c r="A468" s="237"/>
      <c r="B468" s="238"/>
      <c r="C468" s="239"/>
      <c r="D468" s="54"/>
      <c r="E468" s="19"/>
      <c r="F468" s="240"/>
      <c r="G468" s="241"/>
      <c r="H468" s="242"/>
      <c r="I468" s="243"/>
      <c r="J468" s="239"/>
      <c r="K468" s="241"/>
      <c r="L468" s="52"/>
      <c r="M468" s="244"/>
      <c r="N468" s="245"/>
      <c r="O468" s="246"/>
      <c r="P468" s="247"/>
      <c r="Q468" s="248"/>
    </row>
    <row r="469" spans="1:17" ht="19.5" customHeight="1" x14ac:dyDescent="0.25">
      <c r="A469" s="237"/>
      <c r="B469" s="238"/>
      <c r="C469" s="239"/>
      <c r="D469" s="54"/>
      <c r="E469" s="20"/>
      <c r="F469" s="240"/>
      <c r="G469" s="241"/>
      <c r="H469" s="242"/>
      <c r="I469" s="243"/>
      <c r="J469" s="239"/>
      <c r="K469" s="241"/>
      <c r="L469" s="52"/>
      <c r="M469" s="244"/>
      <c r="N469" s="245"/>
      <c r="O469" s="246"/>
      <c r="P469" s="247"/>
      <c r="Q469" s="248"/>
    </row>
    <row r="470" spans="1:17" ht="19.5" customHeight="1" x14ac:dyDescent="0.25">
      <c r="A470" s="237"/>
      <c r="B470" s="238"/>
      <c r="C470" s="239"/>
      <c r="D470" s="54"/>
      <c r="E470" s="20"/>
      <c r="F470" s="240"/>
      <c r="G470" s="241"/>
      <c r="H470" s="242"/>
      <c r="I470" s="243"/>
      <c r="J470" s="239"/>
      <c r="K470" s="241"/>
      <c r="L470" s="52"/>
      <c r="M470" s="244"/>
      <c r="N470" s="245"/>
      <c r="O470" s="246"/>
      <c r="P470" s="247"/>
      <c r="Q470" s="248"/>
    </row>
    <row r="471" spans="1:17" ht="19.5" customHeight="1" x14ac:dyDescent="0.25">
      <c r="A471" s="149"/>
      <c r="B471" s="150"/>
      <c r="C471" s="151"/>
      <c r="D471" s="152"/>
      <c r="E471" s="153"/>
      <c r="F471" s="154"/>
      <c r="G471" s="155"/>
      <c r="H471" s="156"/>
      <c r="I471" s="157"/>
      <c r="J471" s="151"/>
      <c r="K471" s="155"/>
      <c r="L471" s="158"/>
      <c r="M471" s="159"/>
      <c r="N471" s="160"/>
      <c r="O471" s="161"/>
      <c r="P471" s="162"/>
      <c r="Q471" s="163"/>
    </row>
    <row r="472" spans="1:17" ht="19.5" customHeight="1" x14ac:dyDescent="0.25">
      <c r="A472" s="237"/>
      <c r="B472" s="238"/>
      <c r="C472" s="239"/>
      <c r="D472" s="54"/>
      <c r="E472" s="20"/>
      <c r="F472" s="240"/>
      <c r="G472" s="241"/>
      <c r="H472" s="242"/>
      <c r="I472" s="243"/>
      <c r="J472" s="239"/>
      <c r="K472" s="241"/>
      <c r="L472" s="52"/>
      <c r="M472" s="244"/>
      <c r="N472" s="245"/>
      <c r="O472" s="246"/>
      <c r="P472" s="247"/>
      <c r="Q472" s="248"/>
    </row>
    <row r="473" spans="1:17" ht="19.5" customHeight="1" x14ac:dyDescent="0.25">
      <c r="A473" s="237"/>
      <c r="B473" s="238"/>
      <c r="C473" s="239"/>
      <c r="D473" s="54"/>
      <c r="E473" s="20"/>
      <c r="F473" s="240"/>
      <c r="G473" s="241"/>
      <c r="H473" s="242"/>
      <c r="I473" s="243"/>
      <c r="J473" s="239"/>
      <c r="K473" s="241"/>
      <c r="L473" s="52"/>
      <c r="M473" s="244"/>
      <c r="N473" s="245"/>
      <c r="O473" s="246"/>
      <c r="P473" s="247"/>
      <c r="Q473" s="248"/>
    </row>
    <row r="474" spans="1:17" ht="19.5" customHeight="1" x14ac:dyDescent="0.25">
      <c r="A474" s="237"/>
      <c r="B474" s="238"/>
      <c r="C474" s="239"/>
      <c r="D474" s="54"/>
      <c r="E474" s="19"/>
      <c r="F474" s="240"/>
      <c r="G474" s="241"/>
      <c r="H474" s="242"/>
      <c r="I474" s="243"/>
      <c r="J474" s="239"/>
      <c r="K474" s="241"/>
      <c r="L474" s="52"/>
      <c r="M474" s="244"/>
      <c r="N474" s="245"/>
      <c r="O474" s="246"/>
      <c r="P474" s="247"/>
      <c r="Q474" s="248"/>
    </row>
    <row r="475" spans="1:17" ht="19.5" customHeight="1" x14ac:dyDescent="0.25">
      <c r="A475" s="237"/>
      <c r="B475" s="238"/>
      <c r="C475" s="239"/>
      <c r="D475" s="54"/>
      <c r="E475" s="20"/>
      <c r="F475" s="240"/>
      <c r="G475" s="241"/>
      <c r="H475" s="242"/>
      <c r="I475" s="243"/>
      <c r="J475" s="239"/>
      <c r="K475" s="241"/>
      <c r="L475" s="52"/>
      <c r="M475" s="244"/>
      <c r="N475" s="245"/>
      <c r="O475" s="246"/>
      <c r="P475" s="247"/>
      <c r="Q475" s="248"/>
    </row>
    <row r="476" spans="1:17" ht="19.5" customHeight="1" x14ac:dyDescent="0.25">
      <c r="A476" s="237"/>
      <c r="B476" s="238"/>
      <c r="C476" s="239"/>
      <c r="D476" s="54"/>
      <c r="E476" s="20"/>
      <c r="F476" s="240"/>
      <c r="G476" s="241"/>
      <c r="H476" s="242"/>
      <c r="I476" s="243"/>
      <c r="J476" s="239"/>
      <c r="K476" s="241"/>
      <c r="L476" s="52"/>
      <c r="M476" s="244"/>
      <c r="N476" s="245"/>
      <c r="O476" s="246"/>
      <c r="P476" s="247"/>
      <c r="Q476" s="248"/>
    </row>
    <row r="477" spans="1:17" ht="19.5" customHeight="1" x14ac:dyDescent="0.25">
      <c r="A477" s="237"/>
      <c r="B477" s="238"/>
      <c r="C477" s="239"/>
      <c r="D477" s="54"/>
      <c r="E477" s="20"/>
      <c r="F477" s="240"/>
      <c r="G477" s="241"/>
      <c r="H477" s="242"/>
      <c r="I477" s="243"/>
      <c r="J477" s="239"/>
      <c r="K477" s="241"/>
      <c r="L477" s="52"/>
      <c r="M477" s="244"/>
      <c r="N477" s="245"/>
      <c r="O477" s="246"/>
      <c r="P477" s="247"/>
      <c r="Q477" s="248"/>
    </row>
    <row r="478" spans="1:17" ht="19.5" customHeight="1" x14ac:dyDescent="0.25">
      <c r="A478" s="237"/>
      <c r="B478" s="238"/>
      <c r="C478" s="239"/>
      <c r="D478" s="54"/>
      <c r="E478" s="20"/>
      <c r="F478" s="240"/>
      <c r="G478" s="241"/>
      <c r="H478" s="242"/>
      <c r="I478" s="243"/>
      <c r="J478" s="239"/>
      <c r="K478" s="241"/>
      <c r="L478" s="52"/>
      <c r="M478" s="244"/>
      <c r="N478" s="245"/>
      <c r="O478" s="246"/>
      <c r="P478" s="247"/>
      <c r="Q478" s="248"/>
    </row>
    <row r="479" spans="1:17" ht="19.5" customHeight="1" x14ac:dyDescent="0.25">
      <c r="A479" s="237"/>
      <c r="B479" s="238"/>
      <c r="C479" s="239"/>
      <c r="D479" s="54"/>
      <c r="E479" s="20"/>
      <c r="F479" s="240"/>
      <c r="G479" s="241"/>
      <c r="H479" s="242"/>
      <c r="I479" s="243"/>
      <c r="J479" s="239"/>
      <c r="K479" s="241"/>
      <c r="L479" s="52"/>
      <c r="M479" s="244"/>
      <c r="N479" s="245"/>
      <c r="O479" s="246"/>
      <c r="P479" s="247"/>
      <c r="Q479" s="248"/>
    </row>
    <row r="480" spans="1:17" ht="19.5" customHeight="1" x14ac:dyDescent="0.25">
      <c r="A480" s="237"/>
      <c r="B480" s="238"/>
      <c r="C480" s="239"/>
      <c r="D480" s="54"/>
      <c r="E480" s="20"/>
      <c r="F480" s="240"/>
      <c r="G480" s="241"/>
      <c r="H480" s="242"/>
      <c r="I480" s="243"/>
      <c r="J480" s="239"/>
      <c r="K480" s="241"/>
      <c r="L480" s="52"/>
      <c r="M480" s="244"/>
      <c r="N480" s="245"/>
      <c r="O480" s="246"/>
      <c r="P480" s="247"/>
      <c r="Q480" s="248"/>
    </row>
    <row r="481" spans="1:17" ht="19.5" customHeight="1" x14ac:dyDescent="0.25">
      <c r="A481" s="237"/>
      <c r="B481" s="238"/>
      <c r="C481" s="239"/>
      <c r="D481" s="54"/>
      <c r="E481" s="20"/>
      <c r="F481" s="240"/>
      <c r="G481" s="241"/>
      <c r="H481" s="242"/>
      <c r="I481" s="243"/>
      <c r="J481" s="239"/>
      <c r="K481" s="241"/>
      <c r="L481" s="52"/>
      <c r="M481" s="244"/>
      <c r="N481" s="245"/>
      <c r="O481" s="246"/>
      <c r="P481" s="247"/>
      <c r="Q481" s="248"/>
    </row>
    <row r="482" spans="1:17" ht="19.5" customHeight="1" x14ac:dyDescent="0.25">
      <c r="A482" s="237"/>
      <c r="B482" s="238"/>
      <c r="C482" s="239"/>
      <c r="D482" s="54"/>
      <c r="E482" s="19"/>
      <c r="F482" s="240"/>
      <c r="G482" s="241"/>
      <c r="H482" s="242"/>
      <c r="I482" s="243"/>
      <c r="J482" s="239"/>
      <c r="K482" s="241"/>
      <c r="L482" s="52"/>
      <c r="M482" s="244"/>
      <c r="N482" s="245"/>
      <c r="O482" s="246"/>
      <c r="P482" s="247"/>
      <c r="Q482" s="248"/>
    </row>
    <row r="483" spans="1:17" ht="19.5" customHeight="1" x14ac:dyDescent="0.25">
      <c r="A483" s="237"/>
      <c r="B483" s="238"/>
      <c r="C483" s="239"/>
      <c r="D483" s="54"/>
      <c r="E483" s="20"/>
      <c r="F483" s="240"/>
      <c r="G483" s="241"/>
      <c r="H483" s="242"/>
      <c r="I483" s="243"/>
      <c r="J483" s="239"/>
      <c r="K483" s="241"/>
      <c r="L483" s="52"/>
      <c r="M483" s="244"/>
      <c r="N483" s="245"/>
      <c r="O483" s="246"/>
      <c r="P483" s="247"/>
      <c r="Q483" s="248"/>
    </row>
    <row r="484" spans="1:17" ht="19.5" customHeight="1" x14ac:dyDescent="0.25">
      <c r="A484" s="237"/>
      <c r="B484" s="238"/>
      <c r="C484" s="239"/>
      <c r="D484" s="54"/>
      <c r="E484" s="20"/>
      <c r="F484" s="240"/>
      <c r="G484" s="241"/>
      <c r="H484" s="242"/>
      <c r="I484" s="243"/>
      <c r="J484" s="239"/>
      <c r="K484" s="241"/>
      <c r="L484" s="52"/>
      <c r="M484" s="244"/>
      <c r="N484" s="245"/>
      <c r="O484" s="246"/>
      <c r="P484" s="247"/>
      <c r="Q484" s="248"/>
    </row>
    <row r="485" spans="1:17" ht="19.5" customHeight="1" x14ac:dyDescent="0.25">
      <c r="A485" s="237"/>
      <c r="B485" s="238"/>
      <c r="C485" s="239"/>
      <c r="D485" s="54"/>
      <c r="E485" s="20"/>
      <c r="F485" s="240"/>
      <c r="G485" s="241"/>
      <c r="H485" s="242"/>
      <c r="I485" s="243"/>
      <c r="J485" s="239"/>
      <c r="K485" s="241"/>
      <c r="L485" s="52"/>
      <c r="M485" s="244"/>
      <c r="N485" s="245"/>
      <c r="O485" s="246"/>
      <c r="P485" s="247"/>
      <c r="Q485" s="248"/>
    </row>
    <row r="486" spans="1:17" ht="19.5" customHeight="1" x14ac:dyDescent="0.25">
      <c r="A486" s="237"/>
      <c r="B486" s="238"/>
      <c r="C486" s="239"/>
      <c r="D486" s="54"/>
      <c r="E486" s="20"/>
      <c r="F486" s="240"/>
      <c r="G486" s="241"/>
      <c r="H486" s="242"/>
      <c r="I486" s="243"/>
      <c r="J486" s="239"/>
      <c r="K486" s="241"/>
      <c r="L486" s="52"/>
      <c r="M486" s="244"/>
      <c r="N486" s="245"/>
      <c r="O486" s="246"/>
      <c r="P486" s="247"/>
      <c r="Q486" s="248"/>
    </row>
    <row r="487" spans="1:17" ht="19.5" customHeight="1" x14ac:dyDescent="0.25">
      <c r="A487" s="237"/>
      <c r="B487" s="238"/>
      <c r="C487" s="239"/>
      <c r="D487" s="54"/>
      <c r="E487" s="19"/>
      <c r="F487" s="240"/>
      <c r="G487" s="241"/>
      <c r="H487" s="242"/>
      <c r="I487" s="243"/>
      <c r="J487" s="239"/>
      <c r="K487" s="241"/>
      <c r="L487" s="52"/>
      <c r="M487" s="244"/>
      <c r="N487" s="245"/>
      <c r="O487" s="246"/>
      <c r="P487" s="247"/>
      <c r="Q487" s="248"/>
    </row>
    <row r="488" spans="1:17" ht="19.5" customHeight="1" x14ac:dyDescent="0.25">
      <c r="A488" s="237"/>
      <c r="B488" s="238"/>
      <c r="C488" s="239"/>
      <c r="D488" s="54"/>
      <c r="E488" s="20"/>
      <c r="F488" s="240"/>
      <c r="G488" s="241"/>
      <c r="H488" s="242"/>
      <c r="I488" s="243"/>
      <c r="J488" s="239"/>
      <c r="K488" s="241"/>
      <c r="L488" s="52"/>
      <c r="M488" s="244"/>
      <c r="N488" s="245"/>
      <c r="O488" s="246"/>
      <c r="P488" s="247"/>
      <c r="Q488" s="248"/>
    </row>
    <row r="489" spans="1:17" ht="19.5" customHeight="1" x14ac:dyDescent="0.25">
      <c r="A489" s="237"/>
      <c r="B489" s="238"/>
      <c r="C489" s="239"/>
      <c r="D489" s="54"/>
      <c r="E489" s="19"/>
      <c r="F489" s="240"/>
      <c r="G489" s="241"/>
      <c r="H489" s="242"/>
      <c r="I489" s="243"/>
      <c r="J489" s="239"/>
      <c r="K489" s="241"/>
      <c r="L489" s="52"/>
      <c r="M489" s="244"/>
      <c r="N489" s="245"/>
      <c r="O489" s="246"/>
      <c r="P489" s="247"/>
      <c r="Q489" s="248"/>
    </row>
    <row r="490" spans="1:17" ht="19.5" customHeight="1" x14ac:dyDescent="0.25">
      <c r="A490" s="237"/>
      <c r="B490" s="238"/>
      <c r="C490" s="239"/>
      <c r="D490" s="54"/>
      <c r="E490" s="20"/>
      <c r="F490" s="240"/>
      <c r="G490" s="241"/>
      <c r="H490" s="242"/>
      <c r="I490" s="243"/>
      <c r="J490" s="239"/>
      <c r="K490" s="241"/>
      <c r="L490" s="52"/>
      <c r="M490" s="244"/>
      <c r="N490" s="245"/>
      <c r="O490" s="246"/>
      <c r="P490" s="247"/>
      <c r="Q490" s="248"/>
    </row>
    <row r="491" spans="1:17" ht="19.5" customHeight="1" x14ac:dyDescent="0.25">
      <c r="A491" s="237"/>
      <c r="B491" s="238"/>
      <c r="C491" s="239"/>
      <c r="D491" s="54"/>
      <c r="E491" s="19"/>
      <c r="F491" s="240"/>
      <c r="G491" s="241"/>
      <c r="H491" s="242"/>
      <c r="I491" s="243"/>
      <c r="J491" s="239"/>
      <c r="K491" s="241"/>
      <c r="L491" s="52"/>
      <c r="M491" s="244"/>
      <c r="N491" s="245"/>
      <c r="O491" s="246"/>
      <c r="P491" s="247"/>
      <c r="Q491" s="248"/>
    </row>
    <row r="492" spans="1:17" ht="19.5" customHeight="1" x14ac:dyDescent="0.25">
      <c r="A492" s="237"/>
      <c r="B492" s="238"/>
      <c r="C492" s="239"/>
      <c r="D492" s="54"/>
      <c r="E492" s="19"/>
      <c r="F492" s="240"/>
      <c r="G492" s="241"/>
      <c r="H492" s="242"/>
      <c r="I492" s="243"/>
      <c r="J492" s="239"/>
      <c r="K492" s="241"/>
      <c r="L492" s="52"/>
      <c r="M492" s="244"/>
      <c r="N492" s="245"/>
      <c r="O492" s="246"/>
      <c r="P492" s="247"/>
      <c r="Q492" s="248"/>
    </row>
    <row r="493" spans="1:17" ht="19.5" customHeight="1" x14ac:dyDescent="0.25">
      <c r="A493" s="149"/>
      <c r="B493" s="150"/>
      <c r="C493" s="151"/>
      <c r="D493" s="152"/>
      <c r="E493" s="179"/>
      <c r="F493" s="154"/>
      <c r="G493" s="155"/>
      <c r="H493" s="156"/>
      <c r="I493" s="157"/>
      <c r="J493" s="151"/>
      <c r="K493" s="155"/>
      <c r="L493" s="158"/>
      <c r="M493" s="159"/>
      <c r="N493" s="160"/>
      <c r="O493" s="161"/>
      <c r="P493" s="162"/>
      <c r="Q493" s="163"/>
    </row>
    <row r="494" spans="1:17" ht="19.5" customHeight="1" x14ac:dyDescent="0.25">
      <c r="A494" s="237"/>
      <c r="B494" s="238"/>
      <c r="C494" s="239"/>
      <c r="D494" s="54"/>
      <c r="E494" s="19"/>
      <c r="F494" s="240"/>
      <c r="G494" s="241"/>
      <c r="H494" s="242"/>
      <c r="I494" s="243"/>
      <c r="J494" s="239"/>
      <c r="K494" s="241"/>
      <c r="L494" s="52"/>
      <c r="M494" s="244"/>
      <c r="N494" s="245"/>
      <c r="O494" s="246"/>
      <c r="P494" s="247"/>
      <c r="Q494" s="248"/>
    </row>
    <row r="495" spans="1:17" ht="19.5" customHeight="1" x14ac:dyDescent="0.25">
      <c r="A495" s="237"/>
      <c r="B495" s="238"/>
      <c r="C495" s="239"/>
      <c r="D495" s="54"/>
      <c r="E495" s="19"/>
      <c r="F495" s="240"/>
      <c r="G495" s="241"/>
      <c r="H495" s="242"/>
      <c r="I495" s="243"/>
      <c r="J495" s="239"/>
      <c r="K495" s="241"/>
      <c r="L495" s="52"/>
      <c r="M495" s="244"/>
      <c r="N495" s="245"/>
      <c r="O495" s="246"/>
      <c r="P495" s="247"/>
      <c r="Q495" s="248"/>
    </row>
    <row r="496" spans="1:17" ht="19.5" customHeight="1" x14ac:dyDescent="0.25">
      <c r="A496" s="237"/>
      <c r="B496" s="238"/>
      <c r="C496" s="239"/>
      <c r="D496" s="54"/>
      <c r="E496" s="19"/>
      <c r="F496" s="240"/>
      <c r="G496" s="241"/>
      <c r="H496" s="242"/>
      <c r="I496" s="243"/>
      <c r="J496" s="239"/>
      <c r="K496" s="241"/>
      <c r="L496" s="52"/>
      <c r="M496" s="244"/>
      <c r="N496" s="245"/>
      <c r="O496" s="246"/>
      <c r="P496" s="247"/>
      <c r="Q496" s="248"/>
    </row>
    <row r="497" spans="1:17" ht="19.5" customHeight="1" x14ac:dyDescent="0.25">
      <c r="A497" s="237"/>
      <c r="B497" s="238"/>
      <c r="C497" s="239"/>
      <c r="D497" s="54"/>
      <c r="E497" s="19"/>
      <c r="F497" s="240"/>
      <c r="G497" s="241"/>
      <c r="H497" s="242"/>
      <c r="I497" s="243"/>
      <c r="J497" s="239"/>
      <c r="K497" s="241"/>
      <c r="L497" s="52"/>
      <c r="M497" s="244"/>
      <c r="N497" s="245"/>
      <c r="O497" s="246"/>
      <c r="P497" s="247"/>
      <c r="Q497" s="248"/>
    </row>
    <row r="498" spans="1:17" ht="19.5" customHeight="1" x14ac:dyDescent="0.25">
      <c r="A498" s="237"/>
      <c r="B498" s="238"/>
      <c r="C498" s="239"/>
      <c r="D498" s="54"/>
      <c r="E498" s="19"/>
      <c r="F498" s="240"/>
      <c r="G498" s="241"/>
      <c r="H498" s="242"/>
      <c r="I498" s="243"/>
      <c r="J498" s="239"/>
      <c r="K498" s="241"/>
      <c r="L498" s="52"/>
      <c r="M498" s="244"/>
      <c r="N498" s="245"/>
      <c r="O498" s="246"/>
      <c r="P498" s="247"/>
      <c r="Q498" s="248"/>
    </row>
    <row r="499" spans="1:17" ht="19.5" customHeight="1" x14ac:dyDescent="0.25">
      <c r="A499" s="237"/>
      <c r="B499" s="238"/>
      <c r="C499" s="239"/>
      <c r="D499" s="54"/>
      <c r="E499" s="20"/>
      <c r="F499" s="240"/>
      <c r="G499" s="241"/>
      <c r="H499" s="242"/>
      <c r="I499" s="243"/>
      <c r="J499" s="239"/>
      <c r="K499" s="241"/>
      <c r="L499" s="52"/>
      <c r="M499" s="244"/>
      <c r="N499" s="245"/>
      <c r="O499" s="246"/>
      <c r="P499" s="247"/>
      <c r="Q499" s="248"/>
    </row>
    <row r="500" spans="1:17" ht="19.5" customHeight="1" x14ac:dyDescent="0.25">
      <c r="A500" s="237"/>
      <c r="B500" s="238"/>
      <c r="C500" s="239"/>
      <c r="D500" s="54"/>
      <c r="E500" s="20"/>
      <c r="F500" s="240"/>
      <c r="G500" s="241"/>
      <c r="H500" s="242"/>
      <c r="I500" s="243"/>
      <c r="J500" s="239"/>
      <c r="K500" s="241"/>
      <c r="L500" s="52"/>
      <c r="M500" s="244"/>
      <c r="N500" s="245"/>
      <c r="O500" s="246"/>
      <c r="P500" s="247"/>
      <c r="Q500" s="248"/>
    </row>
    <row r="501" spans="1:17" ht="19.5" customHeight="1" x14ac:dyDescent="0.25">
      <c r="A501" s="237"/>
      <c r="B501" s="238"/>
      <c r="C501" s="239"/>
      <c r="D501" s="54"/>
      <c r="E501" s="20"/>
      <c r="F501" s="240"/>
      <c r="G501" s="241"/>
      <c r="H501" s="242"/>
      <c r="I501" s="243"/>
      <c r="J501" s="239"/>
      <c r="K501" s="241"/>
      <c r="L501" s="52"/>
      <c r="M501" s="244"/>
      <c r="N501" s="245"/>
      <c r="O501" s="246"/>
      <c r="P501" s="247"/>
      <c r="Q501" s="248"/>
    </row>
    <row r="502" spans="1:17" ht="19.5" customHeight="1" x14ac:dyDescent="0.25">
      <c r="A502" s="237"/>
      <c r="B502" s="238"/>
      <c r="C502" s="239"/>
      <c r="D502" s="54"/>
      <c r="E502" s="20"/>
      <c r="F502" s="240"/>
      <c r="G502" s="241"/>
      <c r="H502" s="242"/>
      <c r="I502" s="243"/>
      <c r="J502" s="239"/>
      <c r="K502" s="241"/>
      <c r="L502" s="52"/>
      <c r="M502" s="244"/>
      <c r="N502" s="245"/>
      <c r="O502" s="246"/>
      <c r="P502" s="247"/>
      <c r="Q502" s="248"/>
    </row>
    <row r="503" spans="1:17" ht="19.5" customHeight="1" x14ac:dyDescent="0.25">
      <c r="A503" s="237"/>
      <c r="B503" s="238"/>
      <c r="C503" s="239"/>
      <c r="D503" s="54"/>
      <c r="E503" s="20"/>
      <c r="F503" s="240"/>
      <c r="G503" s="241"/>
      <c r="H503" s="242"/>
      <c r="I503" s="243"/>
      <c r="J503" s="239"/>
      <c r="K503" s="241"/>
      <c r="L503" s="52"/>
      <c r="M503" s="244"/>
      <c r="N503" s="245"/>
      <c r="O503" s="246"/>
      <c r="P503" s="247"/>
      <c r="Q503" s="248"/>
    </row>
    <row r="504" spans="1:17" ht="19.5" customHeight="1" x14ac:dyDescent="0.25">
      <c r="A504" s="237"/>
      <c r="B504" s="238"/>
      <c r="C504" s="239"/>
      <c r="D504" s="54"/>
      <c r="E504" s="20"/>
      <c r="F504" s="240"/>
      <c r="G504" s="241"/>
      <c r="H504" s="242"/>
      <c r="I504" s="243"/>
      <c r="J504" s="239"/>
      <c r="K504" s="241"/>
      <c r="L504" s="52"/>
      <c r="M504" s="244"/>
      <c r="N504" s="245"/>
      <c r="O504" s="246"/>
      <c r="P504" s="247"/>
      <c r="Q504" s="248"/>
    </row>
    <row r="505" spans="1:17" ht="19.5" customHeight="1" x14ac:dyDescent="0.25">
      <c r="A505" s="237"/>
      <c r="B505" s="238"/>
      <c r="C505" s="239"/>
      <c r="D505" s="54"/>
      <c r="E505" s="19"/>
      <c r="F505" s="240"/>
      <c r="G505" s="241"/>
      <c r="H505" s="242"/>
      <c r="I505" s="243"/>
      <c r="J505" s="239"/>
      <c r="K505" s="241"/>
      <c r="L505" s="52"/>
      <c r="M505" s="244"/>
      <c r="N505" s="245"/>
      <c r="O505" s="246"/>
      <c r="P505" s="247"/>
      <c r="Q505" s="248"/>
    </row>
    <row r="506" spans="1:17" ht="19.5" customHeight="1" x14ac:dyDescent="0.25">
      <c r="A506" s="237"/>
      <c r="B506" s="238"/>
      <c r="C506" s="239"/>
      <c r="D506" s="54"/>
      <c r="E506" s="20"/>
      <c r="F506" s="240"/>
      <c r="G506" s="241"/>
      <c r="H506" s="242"/>
      <c r="I506" s="243"/>
      <c r="J506" s="239"/>
      <c r="K506" s="241"/>
      <c r="L506" s="52"/>
      <c r="M506" s="244"/>
      <c r="N506" s="245"/>
      <c r="O506" s="246"/>
      <c r="P506" s="247"/>
      <c r="Q506" s="248"/>
    </row>
    <row r="507" spans="1:17" ht="19.5" customHeight="1" x14ac:dyDescent="0.25">
      <c r="A507" s="237"/>
      <c r="B507" s="238"/>
      <c r="C507" s="239"/>
      <c r="D507" s="54"/>
      <c r="E507" s="19"/>
      <c r="F507" s="240"/>
      <c r="G507" s="241"/>
      <c r="H507" s="242"/>
      <c r="I507" s="243"/>
      <c r="J507" s="239"/>
      <c r="K507" s="241"/>
      <c r="L507" s="52"/>
      <c r="M507" s="244"/>
      <c r="N507" s="245"/>
      <c r="O507" s="246"/>
      <c r="P507" s="247"/>
      <c r="Q507" s="248"/>
    </row>
    <row r="508" spans="1:17" ht="19.5" customHeight="1" x14ac:dyDescent="0.25">
      <c r="A508" s="237"/>
      <c r="B508" s="238"/>
      <c r="C508" s="239"/>
      <c r="D508" s="54"/>
      <c r="E508" s="19"/>
      <c r="F508" s="240"/>
      <c r="G508" s="241"/>
      <c r="H508" s="242"/>
      <c r="I508" s="243"/>
      <c r="J508" s="239"/>
      <c r="K508" s="241"/>
      <c r="L508" s="52"/>
      <c r="M508" s="244"/>
      <c r="N508" s="245"/>
      <c r="O508" s="246"/>
      <c r="P508" s="247"/>
      <c r="Q508" s="248"/>
    </row>
    <row r="509" spans="1:17" ht="19.5" customHeight="1" x14ac:dyDescent="0.25">
      <c r="A509" s="237"/>
      <c r="B509" s="238"/>
      <c r="C509" s="239"/>
      <c r="D509" s="54"/>
      <c r="E509" s="20"/>
      <c r="F509" s="240"/>
      <c r="G509" s="241"/>
      <c r="H509" s="242"/>
      <c r="I509" s="243"/>
      <c r="J509" s="239"/>
      <c r="K509" s="241"/>
      <c r="L509" s="52"/>
      <c r="M509" s="244"/>
      <c r="N509" s="245"/>
      <c r="O509" s="246"/>
      <c r="P509" s="247"/>
      <c r="Q509" s="248"/>
    </row>
    <row r="510" spans="1:17" ht="19.5" customHeight="1" x14ac:dyDescent="0.25">
      <c r="A510" s="237"/>
      <c r="B510" s="238"/>
      <c r="C510" s="239"/>
      <c r="D510" s="54"/>
      <c r="E510" s="19"/>
      <c r="F510" s="240"/>
      <c r="G510" s="241"/>
      <c r="H510" s="242"/>
      <c r="I510" s="243"/>
      <c r="J510" s="239"/>
      <c r="K510" s="241"/>
      <c r="L510" s="52"/>
      <c r="M510" s="244"/>
      <c r="N510" s="245"/>
      <c r="O510" s="246"/>
      <c r="P510" s="247"/>
      <c r="Q510" s="248"/>
    </row>
    <row r="511" spans="1:17" ht="19.5" customHeight="1" x14ac:dyDescent="0.25">
      <c r="A511" s="237"/>
      <c r="B511" s="238"/>
      <c r="C511" s="239"/>
      <c r="D511" s="54"/>
      <c r="E511" s="20"/>
      <c r="F511" s="240"/>
      <c r="G511" s="241"/>
      <c r="H511" s="242"/>
      <c r="I511" s="243"/>
      <c r="J511" s="239"/>
      <c r="K511" s="241"/>
      <c r="L511" s="52"/>
      <c r="M511" s="244"/>
      <c r="N511" s="245"/>
      <c r="O511" s="246"/>
      <c r="P511" s="247"/>
      <c r="Q511" s="248"/>
    </row>
    <row r="512" spans="1:17" ht="19.5" customHeight="1" x14ac:dyDescent="0.25">
      <c r="A512" s="237"/>
      <c r="B512" s="238"/>
      <c r="C512" s="239"/>
      <c r="D512" s="54"/>
      <c r="E512" s="20"/>
      <c r="F512" s="240"/>
      <c r="G512" s="241"/>
      <c r="H512" s="242"/>
      <c r="I512" s="243"/>
      <c r="J512" s="239"/>
      <c r="K512" s="241"/>
      <c r="L512" s="52"/>
      <c r="M512" s="244"/>
      <c r="N512" s="245"/>
      <c r="O512" s="246"/>
      <c r="P512" s="247"/>
      <c r="Q512" s="248"/>
    </row>
    <row r="513" spans="1:17" ht="19.5" customHeight="1" x14ac:dyDescent="0.25">
      <c r="A513" s="237"/>
      <c r="B513" s="238"/>
      <c r="C513" s="239"/>
      <c r="D513" s="54"/>
      <c r="E513" s="20"/>
      <c r="F513" s="240"/>
      <c r="G513" s="241"/>
      <c r="H513" s="242"/>
      <c r="I513" s="243"/>
      <c r="J513" s="239"/>
      <c r="K513" s="241"/>
      <c r="L513" s="52"/>
      <c r="M513" s="244"/>
      <c r="N513" s="245"/>
      <c r="O513" s="246"/>
      <c r="P513" s="247"/>
      <c r="Q513" s="248"/>
    </row>
    <row r="514" spans="1:17" ht="19.5" customHeight="1" x14ac:dyDescent="0.25">
      <c r="A514" s="237"/>
      <c r="B514" s="238"/>
      <c r="C514" s="239"/>
      <c r="D514" s="54"/>
      <c r="E514" s="20"/>
      <c r="F514" s="240"/>
      <c r="G514" s="241"/>
      <c r="H514" s="242"/>
      <c r="I514" s="243"/>
      <c r="J514" s="239"/>
      <c r="K514" s="241"/>
      <c r="L514" s="52"/>
      <c r="M514" s="244"/>
      <c r="N514" s="245"/>
      <c r="O514" s="246"/>
      <c r="P514" s="247"/>
      <c r="Q514" s="248"/>
    </row>
    <row r="515" spans="1:17" ht="19.5" customHeight="1" x14ac:dyDescent="0.25">
      <c r="A515" s="237"/>
      <c r="B515" s="238"/>
      <c r="C515" s="239"/>
      <c r="D515" s="54"/>
      <c r="E515" s="20"/>
      <c r="F515" s="240"/>
      <c r="G515" s="241"/>
      <c r="H515" s="242"/>
      <c r="I515" s="243"/>
      <c r="J515" s="239"/>
      <c r="K515" s="241"/>
      <c r="L515" s="52"/>
      <c r="M515" s="244"/>
      <c r="N515" s="245"/>
      <c r="O515" s="246"/>
      <c r="P515" s="247"/>
      <c r="Q515" s="248"/>
    </row>
    <row r="516" spans="1:17" ht="19.5" customHeight="1" x14ac:dyDescent="0.25">
      <c r="A516" s="237"/>
      <c r="B516" s="238"/>
      <c r="C516" s="239"/>
      <c r="D516" s="54"/>
      <c r="E516" s="20"/>
      <c r="F516" s="240"/>
      <c r="G516" s="241"/>
      <c r="H516" s="242"/>
      <c r="I516" s="243"/>
      <c r="J516" s="239"/>
      <c r="K516" s="241"/>
      <c r="L516" s="52"/>
      <c r="M516" s="244"/>
      <c r="N516" s="245"/>
      <c r="O516" s="246"/>
      <c r="P516" s="247"/>
      <c r="Q516" s="248"/>
    </row>
    <row r="517" spans="1:17" ht="19.5" customHeight="1" x14ac:dyDescent="0.25">
      <c r="A517" s="237"/>
      <c r="B517" s="238"/>
      <c r="C517" s="239"/>
      <c r="D517" s="54"/>
      <c r="E517" s="19"/>
      <c r="F517" s="240"/>
      <c r="G517" s="241"/>
      <c r="H517" s="242"/>
      <c r="I517" s="243"/>
      <c r="J517" s="239"/>
      <c r="K517" s="241"/>
      <c r="L517" s="52"/>
      <c r="M517" s="244"/>
      <c r="N517" s="245"/>
      <c r="O517" s="246"/>
      <c r="P517" s="247"/>
      <c r="Q517" s="248"/>
    </row>
    <row r="518" spans="1:17" ht="19.5" customHeight="1" x14ac:dyDescent="0.25">
      <c r="A518" s="237"/>
      <c r="B518" s="238"/>
      <c r="C518" s="239"/>
      <c r="D518" s="54"/>
      <c r="E518" s="20"/>
      <c r="F518" s="240"/>
      <c r="G518" s="241"/>
      <c r="H518" s="242"/>
      <c r="I518" s="243"/>
      <c r="J518" s="239"/>
      <c r="K518" s="241"/>
      <c r="L518" s="52"/>
      <c r="M518" s="244"/>
      <c r="N518" s="245"/>
      <c r="O518" s="246"/>
      <c r="P518" s="247"/>
      <c r="Q518" s="248"/>
    </row>
    <row r="519" spans="1:17" ht="19.5" customHeight="1" x14ac:dyDescent="0.25">
      <c r="A519" s="237"/>
      <c r="B519" s="238"/>
      <c r="C519" s="239"/>
      <c r="D519" s="54"/>
      <c r="E519" s="20"/>
      <c r="F519" s="240"/>
      <c r="G519" s="241"/>
      <c r="H519" s="242"/>
      <c r="I519" s="243"/>
      <c r="J519" s="239"/>
      <c r="K519" s="241"/>
      <c r="L519" s="52"/>
      <c r="M519" s="244"/>
      <c r="N519" s="245"/>
      <c r="O519" s="246"/>
      <c r="P519" s="247"/>
      <c r="Q519" s="248"/>
    </row>
    <row r="520" spans="1:17" ht="19.5" customHeight="1" x14ac:dyDescent="0.25">
      <c r="A520" s="237"/>
      <c r="B520" s="238"/>
      <c r="C520" s="239"/>
      <c r="D520" s="54"/>
      <c r="E520" s="20"/>
      <c r="F520" s="240"/>
      <c r="G520" s="241"/>
      <c r="H520" s="242"/>
      <c r="I520" s="243"/>
      <c r="J520" s="239"/>
      <c r="K520" s="241"/>
      <c r="L520" s="52"/>
      <c r="M520" s="244"/>
      <c r="N520" s="245"/>
      <c r="O520" s="246"/>
      <c r="P520" s="247"/>
      <c r="Q520" s="248"/>
    </row>
    <row r="521" spans="1:17" ht="19.5" customHeight="1" x14ac:dyDescent="0.25">
      <c r="A521" s="237"/>
      <c r="B521" s="238"/>
      <c r="C521" s="239"/>
      <c r="D521" s="54"/>
      <c r="E521" s="20"/>
      <c r="F521" s="240"/>
      <c r="G521" s="241"/>
      <c r="H521" s="242"/>
      <c r="I521" s="243"/>
      <c r="J521" s="239"/>
      <c r="K521" s="241"/>
      <c r="L521" s="52"/>
      <c r="M521" s="244"/>
      <c r="N521" s="245"/>
      <c r="O521" s="246"/>
      <c r="P521" s="247"/>
      <c r="Q521" s="248"/>
    </row>
    <row r="522" spans="1:17" ht="19.5" customHeight="1" x14ac:dyDescent="0.25">
      <c r="A522" s="237"/>
      <c r="B522" s="238"/>
      <c r="C522" s="239"/>
      <c r="D522" s="54"/>
      <c r="E522" s="20"/>
      <c r="F522" s="240"/>
      <c r="G522" s="241"/>
      <c r="H522" s="242"/>
      <c r="I522" s="243"/>
      <c r="J522" s="239"/>
      <c r="K522" s="241"/>
      <c r="L522" s="52"/>
      <c r="M522" s="244"/>
      <c r="N522" s="245"/>
      <c r="O522" s="246"/>
      <c r="P522" s="247"/>
      <c r="Q522" s="248"/>
    </row>
    <row r="523" spans="1:17" ht="19.5" customHeight="1" x14ac:dyDescent="0.25">
      <c r="A523" s="237"/>
      <c r="B523" s="238"/>
      <c r="C523" s="239"/>
      <c r="D523" s="54"/>
      <c r="E523" s="20"/>
      <c r="F523" s="240"/>
      <c r="G523" s="241"/>
      <c r="H523" s="242"/>
      <c r="I523" s="243"/>
      <c r="J523" s="239"/>
      <c r="K523" s="241"/>
      <c r="L523" s="52"/>
      <c r="M523" s="244"/>
      <c r="N523" s="245"/>
      <c r="O523" s="246"/>
      <c r="P523" s="247"/>
      <c r="Q523" s="248"/>
    </row>
    <row r="524" spans="1:17" ht="19.5" customHeight="1" x14ac:dyDescent="0.25">
      <c r="A524" s="237"/>
      <c r="B524" s="238"/>
      <c r="C524" s="239"/>
      <c r="D524" s="54"/>
      <c r="E524" s="20"/>
      <c r="F524" s="240"/>
      <c r="G524" s="241"/>
      <c r="H524" s="242"/>
      <c r="I524" s="243"/>
      <c r="J524" s="239"/>
      <c r="K524" s="241"/>
      <c r="L524" s="52"/>
      <c r="M524" s="244"/>
      <c r="N524" s="245"/>
      <c r="O524" s="246"/>
      <c r="P524" s="247"/>
      <c r="Q524" s="248"/>
    </row>
    <row r="525" spans="1:17" ht="19.5" customHeight="1" x14ac:dyDescent="0.25">
      <c r="A525" s="237"/>
      <c r="B525" s="238"/>
      <c r="C525" s="239"/>
      <c r="D525" s="54"/>
      <c r="E525" s="20"/>
      <c r="F525" s="240"/>
      <c r="G525" s="241"/>
      <c r="H525" s="242"/>
      <c r="I525" s="243"/>
      <c r="J525" s="239"/>
      <c r="K525" s="241"/>
      <c r="L525" s="52"/>
      <c r="M525" s="244"/>
      <c r="N525" s="245"/>
      <c r="O525" s="246"/>
      <c r="P525" s="247"/>
      <c r="Q525" s="248"/>
    </row>
    <row r="526" spans="1:17" ht="19.5" customHeight="1" x14ac:dyDescent="0.25">
      <c r="A526" s="237"/>
      <c r="B526" s="238"/>
      <c r="C526" s="239"/>
      <c r="D526" s="54"/>
      <c r="E526" s="20"/>
      <c r="F526" s="240"/>
      <c r="G526" s="241"/>
      <c r="H526" s="242"/>
      <c r="I526" s="243"/>
      <c r="J526" s="239"/>
      <c r="K526" s="241"/>
      <c r="L526" s="52"/>
      <c r="M526" s="244"/>
      <c r="N526" s="245"/>
      <c r="O526" s="246"/>
      <c r="P526" s="247"/>
      <c r="Q526" s="248"/>
    </row>
    <row r="527" spans="1:17" ht="19.5" customHeight="1" x14ac:dyDescent="0.25">
      <c r="A527" s="237"/>
      <c r="B527" s="238"/>
      <c r="C527" s="239"/>
      <c r="D527" s="54"/>
      <c r="E527" s="20"/>
      <c r="F527" s="240"/>
      <c r="G527" s="241"/>
      <c r="H527" s="242"/>
      <c r="I527" s="243"/>
      <c r="J527" s="239"/>
      <c r="K527" s="241"/>
      <c r="L527" s="52"/>
      <c r="M527" s="244"/>
      <c r="N527" s="245"/>
      <c r="O527" s="246"/>
      <c r="P527" s="247"/>
      <c r="Q527" s="248"/>
    </row>
    <row r="528" spans="1:17" ht="19.5" customHeight="1" x14ac:dyDescent="0.25">
      <c r="A528" s="237"/>
      <c r="B528" s="238"/>
      <c r="C528" s="239"/>
      <c r="D528" s="54"/>
      <c r="E528" s="20"/>
      <c r="F528" s="240"/>
      <c r="G528" s="241"/>
      <c r="H528" s="242"/>
      <c r="I528" s="243"/>
      <c r="J528" s="239"/>
      <c r="K528" s="241"/>
      <c r="L528" s="52"/>
      <c r="M528" s="244"/>
      <c r="N528" s="245"/>
      <c r="O528" s="246"/>
      <c r="P528" s="247"/>
      <c r="Q528" s="248"/>
    </row>
    <row r="529" spans="1:17" ht="19.5" customHeight="1" x14ac:dyDescent="0.25">
      <c r="A529" s="237"/>
      <c r="B529" s="238"/>
      <c r="C529" s="239"/>
      <c r="D529" s="54"/>
      <c r="E529" s="20"/>
      <c r="F529" s="240"/>
      <c r="G529" s="241"/>
      <c r="H529" s="242"/>
      <c r="I529" s="243"/>
      <c r="J529" s="239"/>
      <c r="K529" s="241"/>
      <c r="L529" s="52"/>
      <c r="M529" s="244"/>
      <c r="N529" s="245"/>
      <c r="O529" s="246"/>
      <c r="P529" s="247"/>
      <c r="Q529" s="248"/>
    </row>
    <row r="530" spans="1:17" ht="19.5" customHeight="1" x14ac:dyDescent="0.25">
      <c r="A530" s="237"/>
      <c r="B530" s="257"/>
      <c r="C530" s="258"/>
      <c r="D530" s="132"/>
      <c r="E530" s="20"/>
      <c r="F530" s="259"/>
      <c r="G530" s="260"/>
      <c r="H530" s="261"/>
      <c r="I530" s="262"/>
      <c r="J530" s="258"/>
      <c r="K530" s="260"/>
      <c r="L530" s="52"/>
      <c r="M530" s="263"/>
      <c r="N530" s="264"/>
      <c r="O530" s="246"/>
      <c r="P530" s="247"/>
      <c r="Q530" s="248"/>
    </row>
    <row r="531" spans="1:17" ht="19.5" customHeight="1" x14ac:dyDescent="0.25">
      <c r="A531" s="237"/>
      <c r="B531" s="265"/>
      <c r="C531" s="266"/>
      <c r="D531" s="133"/>
      <c r="E531" s="20"/>
      <c r="F531" s="267"/>
      <c r="G531" s="268"/>
      <c r="H531" s="269"/>
      <c r="I531" s="270"/>
      <c r="J531" s="266"/>
      <c r="K531" s="268"/>
      <c r="L531" s="52"/>
      <c r="M531" s="271"/>
      <c r="N531" s="272"/>
      <c r="O531" s="246"/>
      <c r="P531" s="247"/>
      <c r="Q531" s="248"/>
    </row>
    <row r="532" spans="1:17" ht="19.5" customHeight="1" x14ac:dyDescent="0.25">
      <c r="A532" s="237"/>
      <c r="B532" s="265"/>
      <c r="C532" s="266"/>
      <c r="D532" s="133"/>
      <c r="E532" s="20"/>
      <c r="F532" s="267"/>
      <c r="G532" s="268"/>
      <c r="H532" s="269"/>
      <c r="I532" s="270"/>
      <c r="J532" s="250"/>
      <c r="K532" s="268"/>
      <c r="L532" s="52"/>
      <c r="M532" s="271"/>
      <c r="N532" s="272"/>
      <c r="O532" s="246"/>
      <c r="P532" s="247"/>
      <c r="Q532" s="248"/>
    </row>
    <row r="533" spans="1:17" ht="19.5" customHeight="1" x14ac:dyDescent="0.25">
      <c r="A533" s="237"/>
      <c r="B533" s="249"/>
      <c r="C533" s="250"/>
      <c r="D533" s="130"/>
      <c r="E533" s="20"/>
      <c r="F533" s="251"/>
      <c r="G533" s="252"/>
      <c r="H533" s="273"/>
      <c r="I533" s="253"/>
      <c r="J533" s="250"/>
      <c r="K533" s="252"/>
      <c r="L533" s="52"/>
      <c r="M533" s="254"/>
      <c r="N533" s="255"/>
      <c r="O533" s="246"/>
      <c r="P533" s="247"/>
      <c r="Q533" s="248"/>
    </row>
    <row r="534" spans="1:17" ht="19.5" customHeight="1" x14ac:dyDescent="0.25">
      <c r="A534" s="237"/>
      <c r="B534" s="238"/>
      <c r="C534" s="239"/>
      <c r="D534" s="54"/>
      <c r="E534" s="20"/>
      <c r="F534" s="240"/>
      <c r="G534" s="241"/>
      <c r="H534" s="242"/>
      <c r="I534" s="243"/>
      <c r="J534" s="239"/>
      <c r="K534" s="241"/>
      <c r="L534" s="52"/>
      <c r="M534" s="244"/>
      <c r="N534" s="245"/>
      <c r="O534" s="246"/>
      <c r="P534" s="247"/>
      <c r="Q534" s="248"/>
    </row>
    <row r="535" spans="1:17" ht="19.5" customHeight="1" x14ac:dyDescent="0.25">
      <c r="A535" s="237"/>
      <c r="B535" s="238"/>
      <c r="C535" s="239"/>
      <c r="D535" s="54"/>
      <c r="E535" s="20"/>
      <c r="F535" s="240"/>
      <c r="G535" s="241"/>
      <c r="H535" s="242"/>
      <c r="I535" s="243"/>
      <c r="J535" s="239"/>
      <c r="K535" s="241"/>
      <c r="L535" s="52"/>
      <c r="M535" s="244"/>
      <c r="N535" s="245"/>
      <c r="O535" s="246"/>
      <c r="P535" s="247"/>
      <c r="Q535" s="248"/>
    </row>
    <row r="536" spans="1:17" ht="19.5" customHeight="1" x14ac:dyDescent="0.25">
      <c r="A536" s="237"/>
      <c r="B536" s="238"/>
      <c r="C536" s="239"/>
      <c r="D536" s="54"/>
      <c r="E536" s="19"/>
      <c r="F536" s="240"/>
      <c r="G536" s="241"/>
      <c r="H536" s="242"/>
      <c r="I536" s="243"/>
      <c r="J536" s="239"/>
      <c r="K536" s="241"/>
      <c r="L536" s="52"/>
      <c r="M536" s="244"/>
      <c r="N536" s="245"/>
      <c r="O536" s="246"/>
      <c r="P536" s="247"/>
      <c r="Q536" s="248"/>
    </row>
    <row r="537" spans="1:17" ht="19.5" customHeight="1" x14ac:dyDescent="0.25">
      <c r="A537" s="237"/>
      <c r="B537" s="238"/>
      <c r="C537" s="239"/>
      <c r="D537" s="54"/>
      <c r="E537" s="20"/>
      <c r="F537" s="240"/>
      <c r="G537" s="241"/>
      <c r="H537" s="242"/>
      <c r="I537" s="243"/>
      <c r="J537" s="239"/>
      <c r="K537" s="241"/>
      <c r="L537" s="52"/>
      <c r="M537" s="244"/>
      <c r="N537" s="245"/>
      <c r="O537" s="246"/>
      <c r="P537" s="247"/>
      <c r="Q537" s="248"/>
    </row>
    <row r="538" spans="1:17" ht="19.5" customHeight="1" x14ac:dyDescent="0.25">
      <c r="A538" s="237"/>
      <c r="B538" s="238"/>
      <c r="C538" s="239"/>
      <c r="D538" s="54"/>
      <c r="E538" s="20"/>
      <c r="F538" s="240"/>
      <c r="G538" s="241"/>
      <c r="H538" s="242"/>
      <c r="I538" s="243"/>
      <c r="J538" s="239"/>
      <c r="K538" s="241"/>
      <c r="L538" s="52"/>
      <c r="M538" s="244"/>
      <c r="N538" s="245"/>
      <c r="O538" s="246"/>
      <c r="P538" s="247"/>
      <c r="Q538" s="248"/>
    </row>
    <row r="539" spans="1:17" ht="19.5" customHeight="1" x14ac:dyDescent="0.25">
      <c r="A539" s="237"/>
      <c r="B539" s="238"/>
      <c r="C539" s="239"/>
      <c r="D539" s="54"/>
      <c r="E539" s="20"/>
      <c r="F539" s="240"/>
      <c r="G539" s="241"/>
      <c r="H539" s="242"/>
      <c r="I539" s="243"/>
      <c r="J539" s="239"/>
      <c r="K539" s="241"/>
      <c r="L539" s="52"/>
      <c r="M539" s="244"/>
      <c r="N539" s="245"/>
      <c r="O539" s="246"/>
      <c r="P539" s="247"/>
      <c r="Q539" s="248"/>
    </row>
    <row r="540" spans="1:17" ht="19.5" customHeight="1" x14ac:dyDescent="0.25">
      <c r="A540" s="237"/>
      <c r="B540" s="238"/>
      <c r="C540" s="239"/>
      <c r="D540" s="54"/>
      <c r="E540" s="19"/>
      <c r="F540" s="240"/>
      <c r="G540" s="241"/>
      <c r="H540" s="242"/>
      <c r="I540" s="243"/>
      <c r="J540" s="239"/>
      <c r="K540" s="241"/>
      <c r="L540" s="52"/>
      <c r="M540" s="244"/>
      <c r="N540" s="245"/>
      <c r="O540" s="246"/>
      <c r="P540" s="247"/>
      <c r="Q540" s="248"/>
    </row>
    <row r="541" spans="1:17" ht="19.5" customHeight="1" x14ac:dyDescent="0.25">
      <c r="A541" s="237"/>
      <c r="B541" s="238"/>
      <c r="C541" s="239"/>
      <c r="D541" s="54"/>
      <c r="E541" s="20"/>
      <c r="F541" s="240"/>
      <c r="G541" s="241"/>
      <c r="H541" s="242"/>
      <c r="I541" s="243"/>
      <c r="J541" s="239"/>
      <c r="K541" s="241"/>
      <c r="L541" s="52"/>
      <c r="M541" s="244"/>
      <c r="N541" s="245"/>
      <c r="O541" s="246"/>
      <c r="P541" s="247"/>
      <c r="Q541" s="248"/>
    </row>
    <row r="542" spans="1:17" ht="19.5" customHeight="1" x14ac:dyDescent="0.25">
      <c r="A542" s="237"/>
      <c r="B542" s="238"/>
      <c r="C542" s="239"/>
      <c r="D542" s="54"/>
      <c r="E542" s="20"/>
      <c r="F542" s="240"/>
      <c r="G542" s="241"/>
      <c r="H542" s="242"/>
      <c r="I542" s="243"/>
      <c r="J542" s="239"/>
      <c r="K542" s="241"/>
      <c r="L542" s="52"/>
      <c r="M542" s="244"/>
      <c r="N542" s="245"/>
      <c r="O542" s="246"/>
      <c r="P542" s="247"/>
      <c r="Q542" s="248"/>
    </row>
    <row r="543" spans="1:17" ht="19.5" customHeight="1" x14ac:dyDescent="0.25">
      <c r="A543" s="237"/>
      <c r="B543" s="238"/>
      <c r="C543" s="239"/>
      <c r="D543" s="54"/>
      <c r="E543" s="20"/>
      <c r="F543" s="240"/>
      <c r="G543" s="241"/>
      <c r="H543" s="242"/>
      <c r="I543" s="243"/>
      <c r="J543" s="239"/>
      <c r="K543" s="241"/>
      <c r="L543" s="52"/>
      <c r="M543" s="244"/>
      <c r="N543" s="245"/>
      <c r="O543" s="246"/>
      <c r="P543" s="247"/>
      <c r="Q543" s="248"/>
    </row>
    <row r="544" spans="1:17" ht="19.5" customHeight="1" x14ac:dyDescent="0.25">
      <c r="A544" s="237"/>
      <c r="B544" s="238"/>
      <c r="C544" s="239"/>
      <c r="D544" s="54"/>
      <c r="E544" s="20"/>
      <c r="F544" s="240"/>
      <c r="G544" s="241"/>
      <c r="H544" s="242"/>
      <c r="I544" s="243"/>
      <c r="J544" s="239"/>
      <c r="K544" s="241"/>
      <c r="L544" s="52"/>
      <c r="M544" s="244"/>
      <c r="N544" s="245"/>
      <c r="O544" s="246"/>
      <c r="P544" s="247"/>
      <c r="Q544" s="248"/>
    </row>
    <row r="545" spans="1:17" ht="19.5" customHeight="1" x14ac:dyDescent="0.25">
      <c r="A545" s="237"/>
      <c r="B545" s="238"/>
      <c r="C545" s="239"/>
      <c r="D545" s="54"/>
      <c r="E545" s="20"/>
      <c r="F545" s="240"/>
      <c r="G545" s="241"/>
      <c r="H545" s="242"/>
      <c r="I545" s="243"/>
      <c r="J545" s="239"/>
      <c r="K545" s="241"/>
      <c r="L545" s="52"/>
      <c r="M545" s="244"/>
      <c r="N545" s="245"/>
      <c r="O545" s="246"/>
      <c r="P545" s="247"/>
      <c r="Q545" s="248"/>
    </row>
    <row r="546" spans="1:17" ht="19.5" customHeight="1" x14ac:dyDescent="0.25">
      <c r="A546" s="149"/>
      <c r="B546" s="150"/>
      <c r="C546" s="151"/>
      <c r="D546" s="152"/>
      <c r="E546" s="179"/>
      <c r="F546" s="154"/>
      <c r="G546" s="155"/>
      <c r="H546" s="156"/>
      <c r="I546" s="157"/>
      <c r="J546" s="151"/>
      <c r="K546" s="155"/>
      <c r="L546" s="158"/>
      <c r="M546" s="159"/>
      <c r="N546" s="160"/>
      <c r="O546" s="161"/>
      <c r="P546" s="162"/>
      <c r="Q546" s="163"/>
    </row>
    <row r="547" spans="1:17" ht="19.5" customHeight="1" x14ac:dyDescent="0.25">
      <c r="A547" s="237"/>
      <c r="B547" s="238"/>
      <c r="C547" s="239"/>
      <c r="D547" s="54"/>
      <c r="E547" s="20"/>
      <c r="F547" s="240"/>
      <c r="G547" s="241"/>
      <c r="H547" s="242"/>
      <c r="I547" s="243"/>
      <c r="J547" s="239"/>
      <c r="K547" s="241"/>
      <c r="L547" s="52"/>
      <c r="M547" s="244"/>
      <c r="N547" s="245"/>
      <c r="O547" s="246"/>
      <c r="P547" s="247"/>
      <c r="Q547" s="248"/>
    </row>
    <row r="548" spans="1:17" ht="19.5" customHeight="1" x14ac:dyDescent="0.25">
      <c r="A548" s="237"/>
      <c r="B548" s="238"/>
      <c r="C548" s="239"/>
      <c r="D548" s="54"/>
      <c r="E548" s="20"/>
      <c r="F548" s="240"/>
      <c r="G548" s="241"/>
      <c r="H548" s="242"/>
      <c r="I548" s="243"/>
      <c r="J548" s="239"/>
      <c r="K548" s="241"/>
      <c r="L548" s="52"/>
      <c r="M548" s="244"/>
      <c r="N548" s="245"/>
      <c r="O548" s="246"/>
      <c r="P548" s="247"/>
      <c r="Q548" s="248"/>
    </row>
    <row r="549" spans="1:17" ht="19.5" customHeight="1" x14ac:dyDescent="0.25">
      <c r="A549" s="237"/>
      <c r="B549" s="238"/>
      <c r="C549" s="239"/>
      <c r="D549" s="54"/>
      <c r="E549" s="20"/>
      <c r="F549" s="240"/>
      <c r="G549" s="241"/>
      <c r="H549" s="242"/>
      <c r="I549" s="243"/>
      <c r="J549" s="239"/>
      <c r="K549" s="241"/>
      <c r="L549" s="52"/>
      <c r="M549" s="244"/>
      <c r="N549" s="245"/>
      <c r="O549" s="246"/>
      <c r="P549" s="247"/>
      <c r="Q549" s="248"/>
    </row>
    <row r="550" spans="1:17" ht="19.5" customHeight="1" x14ac:dyDescent="0.25">
      <c r="A550" s="237"/>
      <c r="B550" s="238"/>
      <c r="C550" s="239"/>
      <c r="D550" s="54"/>
      <c r="E550" s="20"/>
      <c r="F550" s="240"/>
      <c r="G550" s="241"/>
      <c r="H550" s="242"/>
      <c r="I550" s="243"/>
      <c r="J550" s="239"/>
      <c r="K550" s="241"/>
      <c r="L550" s="52"/>
      <c r="M550" s="244"/>
      <c r="N550" s="245"/>
      <c r="O550" s="246"/>
      <c r="P550" s="247"/>
      <c r="Q550" s="248"/>
    </row>
    <row r="551" spans="1:17" ht="19.5" customHeight="1" x14ac:dyDescent="0.25">
      <c r="A551" s="237"/>
      <c r="B551" s="238"/>
      <c r="C551" s="239"/>
      <c r="D551" s="54"/>
      <c r="E551" s="20"/>
      <c r="F551" s="240"/>
      <c r="G551" s="241"/>
      <c r="H551" s="242"/>
      <c r="I551" s="243"/>
      <c r="J551" s="239"/>
      <c r="K551" s="241"/>
      <c r="L551" s="52"/>
      <c r="M551" s="244"/>
      <c r="N551" s="245"/>
      <c r="O551" s="246"/>
      <c r="P551" s="247"/>
      <c r="Q551" s="248"/>
    </row>
    <row r="552" spans="1:17" ht="19.5" customHeight="1" x14ac:dyDescent="0.25">
      <c r="A552" s="237"/>
      <c r="B552" s="238"/>
      <c r="C552" s="239"/>
      <c r="D552" s="54"/>
      <c r="E552" s="20"/>
      <c r="F552" s="240"/>
      <c r="G552" s="241"/>
      <c r="H552" s="242"/>
      <c r="I552" s="243"/>
      <c r="J552" s="239"/>
      <c r="K552" s="241"/>
      <c r="L552" s="52"/>
      <c r="M552" s="244"/>
      <c r="N552" s="245"/>
      <c r="O552" s="246"/>
      <c r="P552" s="247"/>
      <c r="Q552" s="248"/>
    </row>
    <row r="553" spans="1:17" ht="19.5" customHeight="1" x14ac:dyDescent="0.25">
      <c r="A553" s="237"/>
      <c r="B553" s="238"/>
      <c r="C553" s="239"/>
      <c r="D553" s="54"/>
      <c r="E553" s="19"/>
      <c r="F553" s="240"/>
      <c r="G553" s="241"/>
      <c r="H553" s="242"/>
      <c r="I553" s="243"/>
      <c r="J553" s="239"/>
      <c r="K553" s="241"/>
      <c r="L553" s="52"/>
      <c r="M553" s="244"/>
      <c r="N553" s="245"/>
      <c r="O553" s="246"/>
      <c r="P553" s="247"/>
      <c r="Q553" s="248"/>
    </row>
    <row r="554" spans="1:17" ht="19.5" customHeight="1" x14ac:dyDescent="0.25">
      <c r="A554" s="237"/>
      <c r="B554" s="238"/>
      <c r="C554" s="239"/>
      <c r="D554" s="54"/>
      <c r="E554" s="19"/>
      <c r="F554" s="240"/>
      <c r="G554" s="241"/>
      <c r="H554" s="242"/>
      <c r="I554" s="243"/>
      <c r="J554" s="239"/>
      <c r="K554" s="241"/>
      <c r="L554" s="52"/>
      <c r="M554" s="244"/>
      <c r="N554" s="245"/>
      <c r="O554" s="246"/>
      <c r="P554" s="247"/>
      <c r="Q554" s="248"/>
    </row>
    <row r="555" spans="1:17" ht="19.5" customHeight="1" x14ac:dyDescent="0.25">
      <c r="A555" s="237"/>
      <c r="B555" s="238"/>
      <c r="C555" s="239"/>
      <c r="D555" s="54"/>
      <c r="E555" s="20"/>
      <c r="F555" s="240"/>
      <c r="G555" s="241"/>
      <c r="H555" s="242"/>
      <c r="I555" s="243"/>
      <c r="J555" s="239"/>
      <c r="K555" s="241"/>
      <c r="L555" s="52"/>
      <c r="M555" s="244"/>
      <c r="N555" s="245"/>
      <c r="O555" s="246"/>
      <c r="P555" s="247"/>
      <c r="Q555" s="248"/>
    </row>
    <row r="556" spans="1:17" ht="19.5" customHeight="1" x14ac:dyDescent="0.25">
      <c r="A556" s="237"/>
      <c r="B556" s="238"/>
      <c r="C556" s="239"/>
      <c r="D556" s="54"/>
      <c r="E556" s="20"/>
      <c r="F556" s="240"/>
      <c r="G556" s="241"/>
      <c r="H556" s="242"/>
      <c r="I556" s="243"/>
      <c r="J556" s="239"/>
      <c r="K556" s="241"/>
      <c r="L556" s="52"/>
      <c r="M556" s="244"/>
      <c r="N556" s="245"/>
      <c r="O556" s="246"/>
      <c r="P556" s="247"/>
      <c r="Q556" s="248"/>
    </row>
    <row r="557" spans="1:17" ht="19.5" customHeight="1" x14ac:dyDescent="0.25">
      <c r="A557" s="237"/>
      <c r="B557" s="238"/>
      <c r="C557" s="239"/>
      <c r="D557" s="54"/>
      <c r="E557" s="20"/>
      <c r="F557" s="240"/>
      <c r="G557" s="241"/>
      <c r="H557" s="242"/>
      <c r="I557" s="243"/>
      <c r="J557" s="239"/>
      <c r="K557" s="241"/>
      <c r="L557" s="52"/>
      <c r="M557" s="244"/>
      <c r="N557" s="245"/>
      <c r="O557" s="246"/>
      <c r="P557" s="247"/>
      <c r="Q557" s="248"/>
    </row>
    <row r="558" spans="1:17" ht="19.5" customHeight="1" x14ac:dyDescent="0.25">
      <c r="A558" s="237"/>
      <c r="B558" s="238"/>
      <c r="C558" s="239"/>
      <c r="D558" s="54"/>
      <c r="E558" s="20"/>
      <c r="F558" s="240"/>
      <c r="G558" s="241"/>
      <c r="H558" s="242"/>
      <c r="I558" s="243"/>
      <c r="J558" s="239"/>
      <c r="K558" s="241"/>
      <c r="L558" s="52"/>
      <c r="M558" s="244"/>
      <c r="N558" s="245"/>
      <c r="O558" s="246"/>
      <c r="P558" s="247"/>
      <c r="Q558" s="248"/>
    </row>
    <row r="559" spans="1:17" ht="19.5" customHeight="1" x14ac:dyDescent="0.25">
      <c r="A559" s="237"/>
      <c r="B559" s="238"/>
      <c r="C559" s="239"/>
      <c r="D559" s="54"/>
      <c r="E559" s="19"/>
      <c r="F559" s="240"/>
      <c r="G559" s="241"/>
      <c r="H559" s="242"/>
      <c r="I559" s="243"/>
      <c r="J559" s="239"/>
      <c r="K559" s="241"/>
      <c r="L559" s="52"/>
      <c r="M559" s="244"/>
      <c r="N559" s="245"/>
      <c r="O559" s="246"/>
      <c r="P559" s="247"/>
      <c r="Q559" s="248"/>
    </row>
    <row r="560" spans="1:17" ht="19.5" customHeight="1" x14ac:dyDescent="0.25">
      <c r="A560" s="237"/>
      <c r="B560" s="238"/>
      <c r="C560" s="239"/>
      <c r="D560" s="54"/>
      <c r="E560" s="20"/>
      <c r="F560" s="240"/>
      <c r="G560" s="241"/>
      <c r="H560" s="242"/>
      <c r="I560" s="243"/>
      <c r="J560" s="239"/>
      <c r="K560" s="241"/>
      <c r="L560" s="52"/>
      <c r="M560" s="244"/>
      <c r="N560" s="245"/>
      <c r="O560" s="246"/>
      <c r="P560" s="247"/>
      <c r="Q560" s="248"/>
    </row>
    <row r="561" spans="1:17" ht="19.5" customHeight="1" x14ac:dyDescent="0.25">
      <c r="A561" s="237"/>
      <c r="B561" s="238"/>
      <c r="C561" s="239"/>
      <c r="D561" s="54"/>
      <c r="E561" s="20"/>
      <c r="F561" s="240"/>
      <c r="G561" s="241"/>
      <c r="H561" s="242"/>
      <c r="I561" s="243"/>
      <c r="J561" s="239"/>
      <c r="K561" s="241"/>
      <c r="L561" s="52"/>
      <c r="M561" s="244"/>
      <c r="N561" s="245"/>
      <c r="O561" s="246"/>
      <c r="P561" s="247"/>
      <c r="Q561" s="248"/>
    </row>
    <row r="562" spans="1:17" ht="19.5" customHeight="1" x14ac:dyDescent="0.25">
      <c r="A562" s="237"/>
      <c r="B562" s="238"/>
      <c r="C562" s="239"/>
      <c r="D562" s="54"/>
      <c r="E562" s="20"/>
      <c r="F562" s="240"/>
      <c r="G562" s="241"/>
      <c r="H562" s="242"/>
      <c r="I562" s="243"/>
      <c r="J562" s="239"/>
      <c r="K562" s="241"/>
      <c r="L562" s="52"/>
      <c r="M562" s="244"/>
      <c r="N562" s="245"/>
      <c r="O562" s="246"/>
      <c r="P562" s="247"/>
      <c r="Q562" s="248"/>
    </row>
    <row r="563" spans="1:17" ht="19.5" customHeight="1" x14ac:dyDescent="0.25">
      <c r="A563" s="237"/>
      <c r="B563" s="238"/>
      <c r="C563" s="239"/>
      <c r="D563" s="54"/>
      <c r="E563" s="20"/>
      <c r="F563" s="240"/>
      <c r="G563" s="241"/>
      <c r="H563" s="242"/>
      <c r="I563" s="243"/>
      <c r="J563" s="239"/>
      <c r="K563" s="241"/>
      <c r="L563" s="52"/>
      <c r="M563" s="244"/>
      <c r="N563" s="245"/>
      <c r="O563" s="246"/>
      <c r="P563" s="247"/>
      <c r="Q563" s="248"/>
    </row>
    <row r="564" spans="1:17" ht="19.5" customHeight="1" x14ac:dyDescent="0.25">
      <c r="A564" s="237"/>
      <c r="B564" s="238"/>
      <c r="C564" s="239"/>
      <c r="D564" s="54"/>
      <c r="E564" s="20"/>
      <c r="F564" s="240"/>
      <c r="G564" s="241"/>
      <c r="H564" s="242"/>
      <c r="I564" s="243"/>
      <c r="J564" s="239"/>
      <c r="K564" s="241"/>
      <c r="L564" s="52"/>
      <c r="M564" s="244"/>
      <c r="N564" s="245"/>
      <c r="O564" s="246"/>
      <c r="P564" s="247"/>
      <c r="Q564" s="248"/>
    </row>
    <row r="565" spans="1:17" ht="19.5" customHeight="1" x14ac:dyDescent="0.25">
      <c r="A565" s="237"/>
      <c r="B565" s="238"/>
      <c r="C565" s="239"/>
      <c r="D565" s="54"/>
      <c r="E565" s="20"/>
      <c r="F565" s="240"/>
      <c r="G565" s="241"/>
      <c r="H565" s="242"/>
      <c r="I565" s="243"/>
      <c r="J565" s="239"/>
      <c r="K565" s="241"/>
      <c r="L565" s="52"/>
      <c r="M565" s="244"/>
      <c r="N565" s="245"/>
      <c r="O565" s="246"/>
      <c r="P565" s="247"/>
      <c r="Q565" s="248"/>
    </row>
    <row r="566" spans="1:17" ht="19.5" customHeight="1" x14ac:dyDescent="0.25">
      <c r="A566" s="237"/>
      <c r="B566" s="238"/>
      <c r="C566" s="239"/>
      <c r="D566" s="54"/>
      <c r="E566" s="19"/>
      <c r="F566" s="240"/>
      <c r="G566" s="241"/>
      <c r="H566" s="242"/>
      <c r="I566" s="243"/>
      <c r="J566" s="239"/>
      <c r="K566" s="241"/>
      <c r="L566" s="52"/>
      <c r="M566" s="244"/>
      <c r="N566" s="245"/>
      <c r="O566" s="246"/>
      <c r="P566" s="247"/>
      <c r="Q566" s="248"/>
    </row>
    <row r="567" spans="1:17" ht="19.5" customHeight="1" x14ac:dyDescent="0.25">
      <c r="A567" s="237"/>
      <c r="B567" s="238"/>
      <c r="C567" s="239"/>
      <c r="D567" s="54"/>
      <c r="E567" s="20"/>
      <c r="F567" s="240"/>
      <c r="G567" s="241"/>
      <c r="H567" s="242"/>
      <c r="I567" s="243"/>
      <c r="J567" s="239"/>
      <c r="K567" s="241"/>
      <c r="L567" s="52"/>
      <c r="M567" s="244"/>
      <c r="N567" s="245"/>
      <c r="O567" s="246"/>
      <c r="P567" s="247"/>
      <c r="Q567" s="248"/>
    </row>
    <row r="568" spans="1:17" ht="19.5" customHeight="1" x14ac:dyDescent="0.25">
      <c r="A568" s="237"/>
      <c r="B568" s="238"/>
      <c r="C568" s="239"/>
      <c r="D568" s="54"/>
      <c r="E568" s="19"/>
      <c r="F568" s="240"/>
      <c r="G568" s="241"/>
      <c r="H568" s="242"/>
      <c r="I568" s="243"/>
      <c r="J568" s="239"/>
      <c r="K568" s="241"/>
      <c r="L568" s="52"/>
      <c r="M568" s="244"/>
      <c r="N568" s="245"/>
      <c r="O568" s="246"/>
      <c r="P568" s="247"/>
      <c r="Q568" s="248"/>
    </row>
    <row r="569" spans="1:17" ht="19.5" customHeight="1" x14ac:dyDescent="0.25">
      <c r="A569" s="237"/>
      <c r="B569" s="238"/>
      <c r="C569" s="239"/>
      <c r="D569" s="54"/>
      <c r="E569" s="19"/>
      <c r="F569" s="240"/>
      <c r="G569" s="241"/>
      <c r="H569" s="242"/>
      <c r="I569" s="243"/>
      <c r="J569" s="239"/>
      <c r="K569" s="241"/>
      <c r="L569" s="52"/>
      <c r="M569" s="244"/>
      <c r="N569" s="245"/>
      <c r="O569" s="246"/>
      <c r="P569" s="247"/>
      <c r="Q569" s="248"/>
    </row>
    <row r="570" spans="1:17" ht="19.5" customHeight="1" x14ac:dyDescent="0.25">
      <c r="A570" s="237"/>
      <c r="B570" s="238"/>
      <c r="C570" s="239"/>
      <c r="D570" s="54"/>
      <c r="E570" s="20"/>
      <c r="F570" s="240"/>
      <c r="G570" s="241"/>
      <c r="H570" s="242"/>
      <c r="I570" s="243"/>
      <c r="J570" s="239"/>
      <c r="K570" s="241"/>
      <c r="L570" s="52"/>
      <c r="M570" s="244"/>
      <c r="N570" s="245"/>
      <c r="O570" s="246"/>
      <c r="P570" s="247"/>
      <c r="Q570" s="248"/>
    </row>
    <row r="571" spans="1:17" ht="19.5" customHeight="1" x14ac:dyDescent="0.25">
      <c r="A571" s="237"/>
      <c r="B571" s="238"/>
      <c r="C571" s="239"/>
      <c r="D571" s="54"/>
      <c r="E571" s="20"/>
      <c r="F571" s="240"/>
      <c r="G571" s="241"/>
      <c r="H571" s="242"/>
      <c r="I571" s="243"/>
      <c r="J571" s="239"/>
      <c r="K571" s="241"/>
      <c r="L571" s="52"/>
      <c r="M571" s="244"/>
      <c r="N571" s="245"/>
      <c r="O571" s="246"/>
      <c r="P571" s="247"/>
      <c r="Q571" s="248"/>
    </row>
    <row r="572" spans="1:17" ht="19.5" customHeight="1" x14ac:dyDescent="0.25">
      <c r="A572" s="237"/>
      <c r="B572" s="238"/>
      <c r="C572" s="239"/>
      <c r="D572" s="54"/>
      <c r="E572" s="20"/>
      <c r="F572" s="240"/>
      <c r="G572" s="241"/>
      <c r="H572" s="242"/>
      <c r="I572" s="243"/>
      <c r="J572" s="239"/>
      <c r="K572" s="241"/>
      <c r="L572" s="52"/>
      <c r="M572" s="244"/>
      <c r="N572" s="245"/>
      <c r="O572" s="246"/>
      <c r="P572" s="247"/>
      <c r="Q572" s="248"/>
    </row>
    <row r="573" spans="1:17" ht="19.5" customHeight="1" x14ac:dyDescent="0.25">
      <c r="A573" s="237"/>
      <c r="B573" s="238"/>
      <c r="C573" s="239"/>
      <c r="D573" s="54"/>
      <c r="E573" s="20"/>
      <c r="F573" s="240"/>
      <c r="G573" s="241"/>
      <c r="H573" s="242"/>
      <c r="I573" s="243"/>
      <c r="J573" s="239"/>
      <c r="K573" s="241"/>
      <c r="L573" s="52"/>
      <c r="M573" s="244"/>
      <c r="N573" s="245"/>
      <c r="O573" s="246"/>
      <c r="P573" s="247"/>
      <c r="Q573" s="248"/>
    </row>
    <row r="574" spans="1:17" ht="19.5" customHeight="1" x14ac:dyDescent="0.25">
      <c r="A574" s="237"/>
      <c r="B574" s="238"/>
      <c r="C574" s="239"/>
      <c r="D574" s="54"/>
      <c r="E574" s="20"/>
      <c r="F574" s="240"/>
      <c r="G574" s="241"/>
      <c r="H574" s="242"/>
      <c r="I574" s="243"/>
      <c r="J574" s="239"/>
      <c r="K574" s="241"/>
      <c r="L574" s="52"/>
      <c r="M574" s="244"/>
      <c r="N574" s="245"/>
      <c r="O574" s="246"/>
      <c r="P574" s="247"/>
      <c r="Q574" s="248"/>
    </row>
    <row r="575" spans="1:17" ht="19.5" customHeight="1" x14ac:dyDescent="0.25">
      <c r="A575" s="237"/>
      <c r="B575" s="238"/>
      <c r="C575" s="239"/>
      <c r="D575" s="54"/>
      <c r="E575" s="20"/>
      <c r="F575" s="240"/>
      <c r="G575" s="241"/>
      <c r="H575" s="242"/>
      <c r="I575" s="243"/>
      <c r="J575" s="239"/>
      <c r="K575" s="241"/>
      <c r="L575" s="52"/>
      <c r="M575" s="244"/>
      <c r="N575" s="245"/>
      <c r="O575" s="246"/>
      <c r="P575" s="247"/>
      <c r="Q575" s="248"/>
    </row>
    <row r="576" spans="1:17" ht="19.5" customHeight="1" x14ac:dyDescent="0.25">
      <c r="A576" s="237"/>
      <c r="B576" s="238"/>
      <c r="C576" s="239"/>
      <c r="D576" s="54"/>
      <c r="E576" s="20"/>
      <c r="F576" s="240"/>
      <c r="G576" s="241"/>
      <c r="H576" s="242"/>
      <c r="I576" s="243"/>
      <c r="J576" s="239"/>
      <c r="K576" s="241"/>
      <c r="L576" s="52"/>
      <c r="M576" s="244"/>
      <c r="N576" s="245"/>
      <c r="O576" s="246"/>
      <c r="P576" s="247"/>
      <c r="Q576" s="248"/>
    </row>
    <row r="577" spans="1:17" ht="19.5" customHeight="1" x14ac:dyDescent="0.25">
      <c r="A577" s="237"/>
      <c r="B577" s="238"/>
      <c r="C577" s="239"/>
      <c r="D577" s="54"/>
      <c r="E577" s="20"/>
      <c r="F577" s="240"/>
      <c r="G577" s="241"/>
      <c r="H577" s="242"/>
      <c r="I577" s="243"/>
      <c r="J577" s="239"/>
      <c r="K577" s="241"/>
      <c r="L577" s="52"/>
      <c r="M577" s="244"/>
      <c r="N577" s="245"/>
      <c r="O577" s="246"/>
      <c r="P577" s="247"/>
      <c r="Q577" s="248"/>
    </row>
    <row r="578" spans="1:17" ht="19.5" customHeight="1" x14ac:dyDescent="0.25">
      <c r="A578" s="237"/>
      <c r="B578" s="238"/>
      <c r="C578" s="239"/>
      <c r="D578" s="54"/>
      <c r="E578" s="20"/>
      <c r="F578" s="240"/>
      <c r="G578" s="241"/>
      <c r="H578" s="242"/>
      <c r="I578" s="243"/>
      <c r="J578" s="239"/>
      <c r="K578" s="241"/>
      <c r="L578" s="52"/>
      <c r="M578" s="244"/>
      <c r="N578" s="245"/>
      <c r="O578" s="246"/>
      <c r="P578" s="247"/>
      <c r="Q578" s="248"/>
    </row>
    <row r="579" spans="1:17" ht="19.5" customHeight="1" x14ac:dyDescent="0.25">
      <c r="A579" s="237"/>
      <c r="B579" s="238"/>
      <c r="C579" s="239"/>
      <c r="D579" s="54"/>
      <c r="E579" s="19"/>
      <c r="F579" s="240"/>
      <c r="G579" s="241"/>
      <c r="H579" s="242"/>
      <c r="I579" s="243"/>
      <c r="J579" s="239"/>
      <c r="K579" s="241"/>
      <c r="L579" s="52"/>
      <c r="M579" s="244"/>
      <c r="N579" s="245"/>
      <c r="O579" s="246"/>
      <c r="P579" s="247"/>
      <c r="Q579" s="248"/>
    </row>
    <row r="580" spans="1:17" ht="19.5" customHeight="1" x14ac:dyDescent="0.25">
      <c r="A580" s="237"/>
      <c r="B580" s="238"/>
      <c r="C580" s="239"/>
      <c r="D580" s="54"/>
      <c r="E580" s="20"/>
      <c r="F580" s="240"/>
      <c r="G580" s="241"/>
      <c r="H580" s="242"/>
      <c r="I580" s="243"/>
      <c r="J580" s="239"/>
      <c r="K580" s="241"/>
      <c r="L580" s="52"/>
      <c r="M580" s="244"/>
      <c r="N580" s="245"/>
      <c r="O580" s="246"/>
      <c r="P580" s="247"/>
      <c r="Q580" s="248"/>
    </row>
    <row r="581" spans="1:17" ht="19.5" customHeight="1" x14ac:dyDescent="0.25">
      <c r="A581" s="237"/>
      <c r="B581" s="238"/>
      <c r="C581" s="239"/>
      <c r="D581" s="54"/>
      <c r="E581" s="20"/>
      <c r="F581" s="240"/>
      <c r="G581" s="241"/>
      <c r="H581" s="242"/>
      <c r="I581" s="243"/>
      <c r="J581" s="239"/>
      <c r="K581" s="241"/>
      <c r="L581" s="52"/>
      <c r="M581" s="244"/>
      <c r="N581" s="245"/>
      <c r="O581" s="246"/>
      <c r="P581" s="247"/>
      <c r="Q581" s="248"/>
    </row>
    <row r="582" spans="1:17" ht="19.5" customHeight="1" x14ac:dyDescent="0.25">
      <c r="A582" s="149"/>
      <c r="B582" s="150"/>
      <c r="C582" s="151"/>
      <c r="D582" s="152"/>
      <c r="E582" s="153"/>
      <c r="F582" s="154"/>
      <c r="G582" s="155"/>
      <c r="H582" s="156"/>
      <c r="I582" s="157"/>
      <c r="J582" s="151"/>
      <c r="K582" s="155"/>
      <c r="L582" s="158"/>
      <c r="M582" s="159"/>
      <c r="N582" s="160"/>
      <c r="O582" s="161"/>
      <c r="P582" s="162"/>
      <c r="Q582" s="163"/>
    </row>
    <row r="583" spans="1:17" ht="19.5" customHeight="1" x14ac:dyDescent="0.25">
      <c r="A583" s="237"/>
      <c r="B583" s="238"/>
      <c r="C583" s="239"/>
      <c r="D583" s="54"/>
      <c r="E583" s="20"/>
      <c r="F583" s="240"/>
      <c r="G583" s="241"/>
      <c r="H583" s="242"/>
      <c r="I583" s="243"/>
      <c r="J583" s="239"/>
      <c r="K583" s="241"/>
      <c r="L583" s="52"/>
      <c r="M583" s="244"/>
      <c r="N583" s="245"/>
      <c r="O583" s="246"/>
      <c r="P583" s="247"/>
      <c r="Q583" s="248"/>
    </row>
    <row r="584" spans="1:17" ht="19.5" customHeight="1" x14ac:dyDescent="0.25">
      <c r="A584" s="149"/>
      <c r="B584" s="150"/>
      <c r="C584" s="151"/>
      <c r="D584" s="152"/>
      <c r="E584" s="153"/>
      <c r="F584" s="154"/>
      <c r="G584" s="155"/>
      <c r="H584" s="156"/>
      <c r="I584" s="157"/>
      <c r="J584" s="151"/>
      <c r="K584" s="155"/>
      <c r="L584" s="158"/>
      <c r="M584" s="159"/>
      <c r="N584" s="160"/>
      <c r="O584" s="161"/>
      <c r="P584" s="162"/>
      <c r="Q584" s="163"/>
    </row>
    <row r="585" spans="1:17" ht="19.5" customHeight="1" x14ac:dyDescent="0.25">
      <c r="A585" s="237"/>
      <c r="B585" s="238"/>
      <c r="C585" s="239"/>
      <c r="D585" s="54"/>
      <c r="E585" s="20"/>
      <c r="F585" s="240"/>
      <c r="G585" s="241"/>
      <c r="H585" s="242"/>
      <c r="I585" s="243"/>
      <c r="J585" s="239"/>
      <c r="K585" s="241"/>
      <c r="L585" s="52"/>
      <c r="M585" s="244"/>
      <c r="N585" s="245"/>
      <c r="O585" s="246"/>
      <c r="P585" s="247"/>
      <c r="Q585" s="248"/>
    </row>
    <row r="586" spans="1:17" ht="19.5" customHeight="1" x14ac:dyDescent="0.25">
      <c r="A586" s="237"/>
      <c r="B586" s="238"/>
      <c r="C586" s="239"/>
      <c r="D586" s="54"/>
      <c r="E586" s="20"/>
      <c r="F586" s="240"/>
      <c r="G586" s="241"/>
      <c r="H586" s="242"/>
      <c r="I586" s="243"/>
      <c r="J586" s="239"/>
      <c r="K586" s="241"/>
      <c r="L586" s="52"/>
      <c r="M586" s="244"/>
      <c r="N586" s="245"/>
      <c r="O586" s="246"/>
      <c r="P586" s="247"/>
      <c r="Q586" s="248"/>
    </row>
    <row r="587" spans="1:17" ht="19.5" customHeight="1" x14ac:dyDescent="0.25">
      <c r="A587" s="237"/>
      <c r="B587" s="238"/>
      <c r="C587" s="239"/>
      <c r="D587" s="54"/>
      <c r="E587" s="20"/>
      <c r="F587" s="240"/>
      <c r="G587" s="241"/>
      <c r="H587" s="242"/>
      <c r="I587" s="243"/>
      <c r="J587" s="239"/>
      <c r="K587" s="241"/>
      <c r="L587" s="52"/>
      <c r="M587" s="244"/>
      <c r="N587" s="245"/>
      <c r="O587" s="246"/>
      <c r="P587" s="247"/>
      <c r="Q587" s="248"/>
    </row>
    <row r="588" spans="1:17" ht="19.5" customHeight="1" x14ac:dyDescent="0.25">
      <c r="A588" s="237"/>
      <c r="B588" s="238"/>
      <c r="C588" s="239"/>
      <c r="D588" s="54"/>
      <c r="E588" s="19"/>
      <c r="F588" s="240"/>
      <c r="G588" s="241"/>
      <c r="H588" s="242"/>
      <c r="I588" s="243"/>
      <c r="J588" s="239"/>
      <c r="K588" s="241"/>
      <c r="L588" s="52"/>
      <c r="M588" s="244"/>
      <c r="N588" s="245"/>
      <c r="O588" s="246"/>
      <c r="P588" s="247"/>
      <c r="Q588" s="248"/>
    </row>
    <row r="589" spans="1:17" ht="19.5" customHeight="1" x14ac:dyDescent="0.25">
      <c r="A589" s="237"/>
      <c r="B589" s="238"/>
      <c r="C589" s="239"/>
      <c r="D589" s="54"/>
      <c r="E589" s="20"/>
      <c r="F589" s="240"/>
      <c r="G589" s="241"/>
      <c r="H589" s="242"/>
      <c r="I589" s="243"/>
      <c r="J589" s="239"/>
      <c r="K589" s="241"/>
      <c r="L589" s="52"/>
      <c r="M589" s="244"/>
      <c r="N589" s="245"/>
      <c r="O589" s="246"/>
      <c r="P589" s="247"/>
      <c r="Q589" s="248"/>
    </row>
    <row r="590" spans="1:17" ht="19.5" customHeight="1" x14ac:dyDescent="0.25">
      <c r="A590" s="237"/>
      <c r="B590" s="238"/>
      <c r="C590" s="239"/>
      <c r="D590" s="54"/>
      <c r="E590" s="19"/>
      <c r="F590" s="240"/>
      <c r="G590" s="241"/>
      <c r="H590" s="242"/>
      <c r="I590" s="243"/>
      <c r="J590" s="239"/>
      <c r="K590" s="241"/>
      <c r="L590" s="52"/>
      <c r="M590" s="244"/>
      <c r="N590" s="245"/>
      <c r="O590" s="246"/>
      <c r="P590" s="247"/>
      <c r="Q590" s="248"/>
    </row>
    <row r="591" spans="1:17" ht="19.5" customHeight="1" x14ac:dyDescent="0.25">
      <c r="A591" s="149"/>
      <c r="B591" s="150"/>
      <c r="C591" s="151"/>
      <c r="D591" s="152"/>
      <c r="E591" s="153"/>
      <c r="F591" s="154"/>
      <c r="G591" s="155"/>
      <c r="H591" s="156"/>
      <c r="I591" s="157"/>
      <c r="J591" s="151"/>
      <c r="K591" s="155"/>
      <c r="L591" s="158"/>
      <c r="M591" s="159"/>
      <c r="N591" s="160"/>
      <c r="O591" s="161"/>
      <c r="P591" s="162"/>
      <c r="Q591" s="163"/>
    </row>
    <row r="592" spans="1:17" ht="19.5" customHeight="1" x14ac:dyDescent="0.25">
      <c r="A592" s="237"/>
      <c r="B592" s="238"/>
      <c r="C592" s="239"/>
      <c r="D592" s="54"/>
      <c r="E592" s="19"/>
      <c r="F592" s="240"/>
      <c r="G592" s="241"/>
      <c r="H592" s="242"/>
      <c r="I592" s="243"/>
      <c r="J592" s="239"/>
      <c r="K592" s="241"/>
      <c r="L592" s="52"/>
      <c r="M592" s="244"/>
      <c r="N592" s="245"/>
      <c r="O592" s="246"/>
      <c r="P592" s="247"/>
      <c r="Q592" s="248"/>
    </row>
    <row r="593" spans="1:17" ht="19.5" customHeight="1" x14ac:dyDescent="0.25">
      <c r="A593" s="237"/>
      <c r="B593" s="238"/>
      <c r="C593" s="239"/>
      <c r="D593" s="54"/>
      <c r="E593" s="19"/>
      <c r="F593" s="240"/>
      <c r="G593" s="241"/>
      <c r="H593" s="242"/>
      <c r="I593" s="243"/>
      <c r="J593" s="239"/>
      <c r="K593" s="241"/>
      <c r="L593" s="52"/>
      <c r="M593" s="244"/>
      <c r="N593" s="245"/>
      <c r="O593" s="246"/>
      <c r="P593" s="247"/>
      <c r="Q593" s="248"/>
    </row>
    <row r="594" spans="1:17" ht="19.5" customHeight="1" x14ac:dyDescent="0.25">
      <c r="A594" s="237"/>
      <c r="B594" s="238"/>
      <c r="C594" s="239"/>
      <c r="D594" s="54"/>
      <c r="E594" s="20"/>
      <c r="F594" s="240"/>
      <c r="G594" s="241"/>
      <c r="H594" s="242"/>
      <c r="I594" s="243"/>
      <c r="J594" s="239"/>
      <c r="K594" s="241"/>
      <c r="L594" s="52"/>
      <c r="M594" s="244"/>
      <c r="N594" s="245"/>
      <c r="O594" s="246"/>
      <c r="P594" s="247"/>
      <c r="Q594" s="248"/>
    </row>
    <row r="595" spans="1:17" ht="19.5" customHeight="1" x14ac:dyDescent="0.25">
      <c r="A595" s="237"/>
      <c r="B595" s="238"/>
      <c r="C595" s="239"/>
      <c r="D595" s="54"/>
      <c r="E595" s="20"/>
      <c r="F595" s="240"/>
      <c r="G595" s="241"/>
      <c r="H595" s="242"/>
      <c r="I595" s="243"/>
      <c r="J595" s="239"/>
      <c r="K595" s="241"/>
      <c r="L595" s="52"/>
      <c r="M595" s="244"/>
      <c r="N595" s="245"/>
      <c r="O595" s="246"/>
      <c r="P595" s="247"/>
      <c r="Q595" s="248"/>
    </row>
    <row r="596" spans="1:17" ht="19.5" customHeight="1" x14ac:dyDescent="0.25">
      <c r="A596" s="237"/>
      <c r="B596" s="238"/>
      <c r="C596" s="239"/>
      <c r="D596" s="54"/>
      <c r="E596" s="20"/>
      <c r="F596" s="240"/>
      <c r="G596" s="241"/>
      <c r="H596" s="242"/>
      <c r="I596" s="243"/>
      <c r="J596" s="239"/>
      <c r="K596" s="241"/>
      <c r="L596" s="52"/>
      <c r="M596" s="244"/>
      <c r="N596" s="245"/>
      <c r="O596" s="246"/>
      <c r="P596" s="247"/>
      <c r="Q596" s="248"/>
    </row>
    <row r="597" spans="1:17" ht="19.5" customHeight="1" x14ac:dyDescent="0.25">
      <c r="A597" s="237"/>
      <c r="B597" s="238"/>
      <c r="C597" s="239"/>
      <c r="D597" s="54"/>
      <c r="E597" s="20"/>
      <c r="F597" s="240"/>
      <c r="G597" s="241"/>
      <c r="H597" s="242"/>
      <c r="I597" s="243"/>
      <c r="J597" s="239"/>
      <c r="K597" s="241"/>
      <c r="L597" s="52"/>
      <c r="M597" s="244"/>
      <c r="N597" s="245"/>
      <c r="O597" s="246"/>
      <c r="P597" s="247"/>
      <c r="Q597" s="248"/>
    </row>
    <row r="598" spans="1:17" ht="19.5" customHeight="1" x14ac:dyDescent="0.25">
      <c r="A598" s="237"/>
      <c r="B598" s="238"/>
      <c r="C598" s="239"/>
      <c r="D598" s="54"/>
      <c r="E598" s="20"/>
      <c r="F598" s="240"/>
      <c r="G598" s="241"/>
      <c r="H598" s="242"/>
      <c r="I598" s="243"/>
      <c r="J598" s="239"/>
      <c r="K598" s="241"/>
      <c r="L598" s="52"/>
      <c r="M598" s="244"/>
      <c r="N598" s="245"/>
      <c r="O598" s="246"/>
      <c r="P598" s="247"/>
      <c r="Q598" s="248"/>
    </row>
    <row r="599" spans="1:17" ht="19.5" customHeight="1" x14ac:dyDescent="0.25">
      <c r="A599" s="237"/>
      <c r="B599" s="238"/>
      <c r="C599" s="239"/>
      <c r="D599" s="54"/>
      <c r="E599" s="20"/>
      <c r="F599" s="240"/>
      <c r="G599" s="241"/>
      <c r="H599" s="242"/>
      <c r="I599" s="243"/>
      <c r="J599" s="239"/>
      <c r="K599" s="241"/>
      <c r="L599" s="52"/>
      <c r="M599" s="244"/>
      <c r="N599" s="245"/>
      <c r="O599" s="246"/>
      <c r="P599" s="247"/>
      <c r="Q599" s="248"/>
    </row>
    <row r="600" spans="1:17" ht="19.5" customHeight="1" x14ac:dyDescent="0.25">
      <c r="A600" s="237"/>
      <c r="B600" s="238"/>
      <c r="C600" s="239"/>
      <c r="D600" s="54"/>
      <c r="E600" s="19"/>
      <c r="F600" s="240"/>
      <c r="G600" s="241"/>
      <c r="H600" s="242"/>
      <c r="I600" s="243"/>
      <c r="J600" s="239"/>
      <c r="K600" s="241"/>
      <c r="L600" s="52"/>
      <c r="M600" s="244"/>
      <c r="N600" s="245"/>
      <c r="O600" s="246"/>
      <c r="P600" s="247"/>
      <c r="Q600" s="248"/>
    </row>
    <row r="601" spans="1:17" ht="19.5" customHeight="1" x14ac:dyDescent="0.25">
      <c r="A601" s="237"/>
      <c r="B601" s="238"/>
      <c r="C601" s="239"/>
      <c r="D601" s="54"/>
      <c r="E601" s="19"/>
      <c r="F601" s="240"/>
      <c r="G601" s="241"/>
      <c r="H601" s="242"/>
      <c r="I601" s="243"/>
      <c r="J601" s="239"/>
      <c r="K601" s="241"/>
      <c r="L601" s="52"/>
      <c r="M601" s="244"/>
      <c r="N601" s="245"/>
      <c r="O601" s="246"/>
      <c r="P601" s="247"/>
      <c r="Q601" s="248"/>
    </row>
    <row r="602" spans="1:17" ht="19.5" customHeight="1" x14ac:dyDescent="0.25">
      <c r="A602" s="237"/>
      <c r="B602" s="238"/>
      <c r="C602" s="239"/>
      <c r="D602" s="54"/>
      <c r="E602" s="20"/>
      <c r="F602" s="240"/>
      <c r="G602" s="241"/>
      <c r="H602" s="242"/>
      <c r="I602" s="243"/>
      <c r="J602" s="239"/>
      <c r="K602" s="241"/>
      <c r="L602" s="52"/>
      <c r="M602" s="244"/>
      <c r="N602" s="245"/>
      <c r="O602" s="246"/>
      <c r="P602" s="247"/>
      <c r="Q602" s="248"/>
    </row>
    <row r="603" spans="1:17" ht="19.5" customHeight="1" x14ac:dyDescent="0.25">
      <c r="A603" s="237"/>
      <c r="B603" s="238"/>
      <c r="C603" s="239"/>
      <c r="D603" s="54"/>
      <c r="E603" s="20"/>
      <c r="F603" s="240"/>
      <c r="G603" s="241"/>
      <c r="H603" s="242"/>
      <c r="I603" s="243"/>
      <c r="J603" s="239"/>
      <c r="K603" s="241"/>
      <c r="L603" s="52"/>
      <c r="M603" s="244"/>
      <c r="N603" s="245"/>
      <c r="O603" s="246"/>
      <c r="P603" s="247"/>
      <c r="Q603" s="248"/>
    </row>
    <row r="604" spans="1:17" ht="19.5" customHeight="1" x14ac:dyDescent="0.25">
      <c r="A604" s="237"/>
      <c r="B604" s="238"/>
      <c r="C604" s="239"/>
      <c r="D604" s="54"/>
      <c r="E604" s="20"/>
      <c r="F604" s="240"/>
      <c r="G604" s="241"/>
      <c r="H604" s="242"/>
      <c r="I604" s="243"/>
      <c r="J604" s="239"/>
      <c r="K604" s="241"/>
      <c r="L604" s="52"/>
      <c r="M604" s="244"/>
      <c r="N604" s="245"/>
      <c r="O604" s="246"/>
      <c r="P604" s="247"/>
      <c r="Q604" s="248"/>
    </row>
    <row r="605" spans="1:17" ht="19.5" customHeight="1" x14ac:dyDescent="0.25">
      <c r="A605" s="237"/>
      <c r="B605" s="238"/>
      <c r="C605" s="239"/>
      <c r="D605" s="54"/>
      <c r="E605" s="20"/>
      <c r="F605" s="240"/>
      <c r="G605" s="241"/>
      <c r="H605" s="242"/>
      <c r="I605" s="243"/>
      <c r="J605" s="239"/>
      <c r="K605" s="241"/>
      <c r="L605" s="52"/>
      <c r="M605" s="244"/>
      <c r="N605" s="245"/>
      <c r="O605" s="246"/>
      <c r="P605" s="247"/>
      <c r="Q605" s="248"/>
    </row>
    <row r="606" spans="1:17" ht="19.5" customHeight="1" x14ac:dyDescent="0.25">
      <c r="A606" s="237"/>
      <c r="B606" s="238"/>
      <c r="C606" s="239"/>
      <c r="D606" s="54"/>
      <c r="E606" s="20"/>
      <c r="F606" s="240"/>
      <c r="G606" s="241"/>
      <c r="H606" s="242"/>
      <c r="I606" s="243"/>
      <c r="J606" s="239"/>
      <c r="K606" s="241"/>
      <c r="L606" s="52"/>
      <c r="M606" s="244"/>
      <c r="N606" s="245"/>
      <c r="O606" s="246"/>
      <c r="P606" s="247"/>
      <c r="Q606" s="248"/>
    </row>
    <row r="607" spans="1:17" ht="19.5" customHeight="1" x14ac:dyDescent="0.25">
      <c r="A607" s="149"/>
      <c r="B607" s="150"/>
      <c r="C607" s="151"/>
      <c r="D607" s="152"/>
      <c r="E607" s="179"/>
      <c r="F607" s="154"/>
      <c r="G607" s="155"/>
      <c r="H607" s="156"/>
      <c r="I607" s="157"/>
      <c r="J607" s="151"/>
      <c r="K607" s="155"/>
      <c r="L607" s="158"/>
      <c r="M607" s="159"/>
      <c r="N607" s="160"/>
      <c r="O607" s="161"/>
      <c r="P607" s="162"/>
      <c r="Q607" s="163"/>
    </row>
    <row r="608" spans="1:17" ht="19.5" customHeight="1" x14ac:dyDescent="0.25">
      <c r="A608" s="149"/>
      <c r="B608" s="150"/>
      <c r="C608" s="151"/>
      <c r="D608" s="152"/>
      <c r="E608" s="179"/>
      <c r="F608" s="154"/>
      <c r="G608" s="155"/>
      <c r="H608" s="156"/>
      <c r="I608" s="157"/>
      <c r="J608" s="151"/>
      <c r="K608" s="155"/>
      <c r="L608" s="158"/>
      <c r="M608" s="159"/>
      <c r="N608" s="160"/>
      <c r="O608" s="161"/>
      <c r="P608" s="162"/>
      <c r="Q608" s="163"/>
    </row>
    <row r="609" spans="1:17" ht="19.5" customHeight="1" x14ac:dyDescent="0.25">
      <c r="A609" s="237"/>
      <c r="B609" s="238"/>
      <c r="C609" s="239"/>
      <c r="D609" s="54"/>
      <c r="E609" s="20"/>
      <c r="F609" s="240"/>
      <c r="G609" s="241"/>
      <c r="H609" s="242"/>
      <c r="I609" s="243"/>
      <c r="J609" s="239"/>
      <c r="K609" s="241"/>
      <c r="L609" s="52"/>
      <c r="M609" s="244"/>
      <c r="N609" s="245"/>
      <c r="O609" s="246"/>
      <c r="P609" s="247"/>
      <c r="Q609" s="248"/>
    </row>
    <row r="610" spans="1:17" ht="19.5" customHeight="1" x14ac:dyDescent="0.25">
      <c r="A610" s="237"/>
      <c r="B610" s="238"/>
      <c r="C610" s="239"/>
      <c r="D610" s="54"/>
      <c r="E610" s="19"/>
      <c r="F610" s="240"/>
      <c r="G610" s="241"/>
      <c r="H610" s="242"/>
      <c r="I610" s="243"/>
      <c r="J610" s="239"/>
      <c r="K610" s="241"/>
      <c r="L610" s="52"/>
      <c r="M610" s="244"/>
      <c r="N610" s="245"/>
      <c r="O610" s="246"/>
      <c r="P610" s="247"/>
      <c r="Q610" s="248"/>
    </row>
    <row r="611" spans="1:17" ht="19.5" customHeight="1" x14ac:dyDescent="0.25">
      <c r="A611" s="237"/>
      <c r="B611" s="238"/>
      <c r="C611" s="239"/>
      <c r="D611" s="54"/>
      <c r="E611" s="20"/>
      <c r="F611" s="240"/>
      <c r="G611" s="241"/>
      <c r="H611" s="242"/>
      <c r="I611" s="243"/>
      <c r="J611" s="239"/>
      <c r="K611" s="241"/>
      <c r="L611" s="52"/>
      <c r="M611" s="244"/>
      <c r="N611" s="245"/>
      <c r="O611" s="246"/>
      <c r="P611" s="247"/>
      <c r="Q611" s="248"/>
    </row>
    <row r="612" spans="1:17" ht="19.5" customHeight="1" x14ac:dyDescent="0.25">
      <c r="A612" s="237"/>
      <c r="B612" s="238"/>
      <c r="C612" s="239"/>
      <c r="D612" s="54"/>
      <c r="E612" s="20"/>
      <c r="F612" s="240"/>
      <c r="G612" s="241"/>
      <c r="H612" s="242"/>
      <c r="I612" s="243"/>
      <c r="J612" s="239"/>
      <c r="K612" s="241"/>
      <c r="L612" s="52"/>
      <c r="M612" s="244"/>
      <c r="N612" s="245"/>
      <c r="O612" s="246"/>
      <c r="P612" s="247"/>
      <c r="Q612" s="248"/>
    </row>
    <row r="613" spans="1:17" ht="19.5" customHeight="1" x14ac:dyDescent="0.25">
      <c r="A613" s="237"/>
      <c r="B613" s="238"/>
      <c r="C613" s="239"/>
      <c r="D613" s="54"/>
      <c r="E613" s="20"/>
      <c r="F613" s="240"/>
      <c r="G613" s="241"/>
      <c r="H613" s="242"/>
      <c r="I613" s="243"/>
      <c r="J613" s="239"/>
      <c r="K613" s="241"/>
      <c r="L613" s="52"/>
      <c r="M613" s="244"/>
      <c r="N613" s="245"/>
      <c r="O613" s="246"/>
      <c r="P613" s="247"/>
      <c r="Q613" s="248"/>
    </row>
    <row r="614" spans="1:17" ht="19.5" customHeight="1" x14ac:dyDescent="0.25">
      <c r="A614" s="237"/>
      <c r="B614" s="238"/>
      <c r="C614" s="239"/>
      <c r="D614" s="54"/>
      <c r="E614" s="19"/>
      <c r="F614" s="240"/>
      <c r="G614" s="241"/>
      <c r="H614" s="242"/>
      <c r="I614" s="243"/>
      <c r="J614" s="239"/>
      <c r="K614" s="241"/>
      <c r="L614" s="52"/>
      <c r="M614" s="244"/>
      <c r="N614" s="245"/>
      <c r="O614" s="246"/>
      <c r="P614" s="247"/>
      <c r="Q614" s="248"/>
    </row>
    <row r="615" spans="1:17" ht="19.5" customHeight="1" x14ac:dyDescent="0.25">
      <c r="A615" s="237"/>
      <c r="B615" s="238"/>
      <c r="C615" s="239"/>
      <c r="D615" s="54"/>
      <c r="E615" s="20"/>
      <c r="F615" s="240"/>
      <c r="G615" s="241"/>
      <c r="H615" s="242"/>
      <c r="I615" s="243"/>
      <c r="J615" s="239"/>
      <c r="K615" s="241"/>
      <c r="L615" s="52"/>
      <c r="M615" s="244"/>
      <c r="N615" s="245"/>
      <c r="O615" s="246"/>
      <c r="P615" s="247"/>
      <c r="Q615" s="248"/>
    </row>
    <row r="616" spans="1:17" ht="19.5" customHeight="1" x14ac:dyDescent="0.25">
      <c r="A616" s="237"/>
      <c r="B616" s="238"/>
      <c r="C616" s="239"/>
      <c r="D616" s="54"/>
      <c r="E616" s="20"/>
      <c r="F616" s="240"/>
      <c r="G616" s="241"/>
      <c r="H616" s="242"/>
      <c r="I616" s="243"/>
      <c r="J616" s="239"/>
      <c r="K616" s="241"/>
      <c r="L616" s="52"/>
      <c r="M616" s="244"/>
      <c r="N616" s="245"/>
      <c r="O616" s="246"/>
      <c r="P616" s="247"/>
      <c r="Q616" s="248"/>
    </row>
    <row r="617" spans="1:17" ht="19.5" customHeight="1" x14ac:dyDescent="0.25">
      <c r="A617" s="237"/>
      <c r="B617" s="238"/>
      <c r="C617" s="239"/>
      <c r="D617" s="54"/>
      <c r="E617" s="20"/>
      <c r="F617" s="240"/>
      <c r="G617" s="241"/>
      <c r="H617" s="242"/>
      <c r="I617" s="243"/>
      <c r="J617" s="239"/>
      <c r="K617" s="241"/>
      <c r="L617" s="52"/>
      <c r="M617" s="244"/>
      <c r="N617" s="245"/>
      <c r="O617" s="246"/>
      <c r="P617" s="247"/>
      <c r="Q617" s="248"/>
    </row>
    <row r="618" spans="1:17" ht="19.5" customHeight="1" x14ac:dyDescent="0.25">
      <c r="A618" s="237"/>
      <c r="B618" s="238"/>
      <c r="C618" s="239"/>
      <c r="D618" s="54"/>
      <c r="E618" s="20"/>
      <c r="F618" s="240"/>
      <c r="G618" s="241"/>
      <c r="H618" s="242"/>
      <c r="I618" s="243"/>
      <c r="J618" s="239"/>
      <c r="K618" s="241"/>
      <c r="L618" s="52"/>
      <c r="M618" s="244"/>
      <c r="N618" s="245"/>
      <c r="O618" s="246"/>
      <c r="P618" s="247"/>
      <c r="Q618" s="248"/>
    </row>
    <row r="619" spans="1:17" ht="19.5" customHeight="1" x14ac:dyDescent="0.25">
      <c r="A619" s="149"/>
      <c r="B619" s="150"/>
      <c r="C619" s="151"/>
      <c r="D619" s="152"/>
      <c r="E619" s="153"/>
      <c r="F619" s="154"/>
      <c r="G619" s="155"/>
      <c r="H619" s="156"/>
      <c r="I619" s="157"/>
      <c r="J619" s="151"/>
      <c r="K619" s="155"/>
      <c r="L619" s="158"/>
      <c r="M619" s="159"/>
      <c r="N619" s="160"/>
      <c r="O619" s="161"/>
      <c r="P619" s="162"/>
      <c r="Q619" s="163"/>
    </row>
    <row r="620" spans="1:17" ht="19.5" customHeight="1" x14ac:dyDescent="0.25">
      <c r="A620" s="149"/>
      <c r="B620" s="150"/>
      <c r="C620" s="151"/>
      <c r="D620" s="152"/>
      <c r="E620" s="153"/>
      <c r="F620" s="154"/>
      <c r="G620" s="155"/>
      <c r="H620" s="156"/>
      <c r="I620" s="157"/>
      <c r="J620" s="151"/>
      <c r="K620" s="155"/>
      <c r="L620" s="158"/>
      <c r="M620" s="159"/>
      <c r="N620" s="160"/>
      <c r="O620" s="161"/>
      <c r="P620" s="162"/>
      <c r="Q620" s="163"/>
    </row>
    <row r="621" spans="1:17" ht="19.5" customHeight="1" x14ac:dyDescent="0.25">
      <c r="A621" s="237"/>
      <c r="B621" s="238"/>
      <c r="C621" s="239"/>
      <c r="D621" s="54"/>
      <c r="E621" s="19"/>
      <c r="F621" s="240"/>
      <c r="G621" s="241"/>
      <c r="H621" s="242"/>
      <c r="I621" s="243"/>
      <c r="J621" s="239"/>
      <c r="K621" s="241"/>
      <c r="L621" s="52"/>
      <c r="M621" s="244"/>
      <c r="N621" s="245"/>
      <c r="O621" s="246"/>
      <c r="P621" s="247"/>
      <c r="Q621" s="248"/>
    </row>
    <row r="622" spans="1:17" ht="19.5" customHeight="1" x14ac:dyDescent="0.25">
      <c r="A622" s="237"/>
      <c r="B622" s="238"/>
      <c r="C622" s="239"/>
      <c r="D622" s="54"/>
      <c r="E622" s="20"/>
      <c r="F622" s="240"/>
      <c r="G622" s="241"/>
      <c r="H622" s="242"/>
      <c r="I622" s="243"/>
      <c r="J622" s="239"/>
      <c r="K622" s="241"/>
      <c r="L622" s="52"/>
      <c r="M622" s="244"/>
      <c r="N622" s="245"/>
      <c r="O622" s="246"/>
      <c r="P622" s="247"/>
      <c r="Q622" s="248"/>
    </row>
    <row r="623" spans="1:17" ht="19.5" customHeight="1" x14ac:dyDescent="0.25">
      <c r="A623" s="237"/>
      <c r="B623" s="238"/>
      <c r="C623" s="239"/>
      <c r="D623" s="54"/>
      <c r="E623" s="19"/>
      <c r="F623" s="240"/>
      <c r="G623" s="241"/>
      <c r="H623" s="242"/>
      <c r="I623" s="243"/>
      <c r="J623" s="239"/>
      <c r="K623" s="241"/>
      <c r="L623" s="52"/>
      <c r="M623" s="244"/>
      <c r="N623" s="245"/>
      <c r="O623" s="246"/>
      <c r="P623" s="247"/>
      <c r="Q623" s="248"/>
    </row>
    <row r="624" spans="1:17" ht="19.5" customHeight="1" x14ac:dyDescent="0.25">
      <c r="A624" s="237"/>
      <c r="B624" s="238"/>
      <c r="C624" s="239"/>
      <c r="D624" s="54"/>
      <c r="E624" s="20"/>
      <c r="F624" s="240"/>
      <c r="G624" s="241"/>
      <c r="H624" s="242"/>
      <c r="I624" s="243"/>
      <c r="J624" s="239"/>
      <c r="K624" s="241"/>
      <c r="L624" s="52"/>
      <c r="M624" s="244"/>
      <c r="N624" s="245"/>
      <c r="O624" s="246"/>
      <c r="P624" s="247"/>
      <c r="Q624" s="248"/>
    </row>
    <row r="625" spans="1:17" ht="19.5" customHeight="1" x14ac:dyDescent="0.25">
      <c r="A625" s="237"/>
      <c r="B625" s="238"/>
      <c r="C625" s="239"/>
      <c r="D625" s="54"/>
      <c r="E625" s="20"/>
      <c r="F625" s="240"/>
      <c r="G625" s="241"/>
      <c r="H625" s="242"/>
      <c r="I625" s="243"/>
      <c r="J625" s="239"/>
      <c r="K625" s="241"/>
      <c r="L625" s="52"/>
      <c r="M625" s="244"/>
      <c r="N625" s="245"/>
      <c r="O625" s="246"/>
      <c r="P625" s="247"/>
      <c r="Q625" s="248"/>
    </row>
    <row r="626" spans="1:17" ht="19.5" customHeight="1" x14ac:dyDescent="0.25">
      <c r="A626" s="237"/>
      <c r="B626" s="238"/>
      <c r="C626" s="239"/>
      <c r="D626" s="54"/>
      <c r="E626" s="20"/>
      <c r="F626" s="240"/>
      <c r="G626" s="241"/>
      <c r="H626" s="242"/>
      <c r="I626" s="243"/>
      <c r="J626" s="239"/>
      <c r="K626" s="241"/>
      <c r="L626" s="52"/>
      <c r="M626" s="244"/>
      <c r="N626" s="245"/>
      <c r="O626" s="246"/>
      <c r="P626" s="247"/>
      <c r="Q626" s="248"/>
    </row>
    <row r="627" spans="1:17" ht="19.5" customHeight="1" x14ac:dyDescent="0.25">
      <c r="A627" s="237"/>
      <c r="B627" s="238"/>
      <c r="C627" s="239"/>
      <c r="D627" s="54"/>
      <c r="E627" s="19"/>
      <c r="F627" s="240"/>
      <c r="G627" s="241"/>
      <c r="H627" s="242"/>
      <c r="I627" s="243"/>
      <c r="J627" s="239"/>
      <c r="K627" s="241"/>
      <c r="L627" s="52"/>
      <c r="M627" s="244"/>
      <c r="N627" s="245"/>
      <c r="O627" s="246"/>
      <c r="P627" s="247"/>
      <c r="Q627" s="248"/>
    </row>
    <row r="628" spans="1:17" ht="19.5" customHeight="1" x14ac:dyDescent="0.25">
      <c r="A628" s="237"/>
      <c r="B628" s="238"/>
      <c r="C628" s="239"/>
      <c r="D628" s="54"/>
      <c r="E628" s="20"/>
      <c r="F628" s="240"/>
      <c r="G628" s="241"/>
      <c r="H628" s="242"/>
      <c r="I628" s="243"/>
      <c r="J628" s="239"/>
      <c r="K628" s="241"/>
      <c r="L628" s="52"/>
      <c r="M628" s="244"/>
      <c r="N628" s="245"/>
      <c r="O628" s="246"/>
      <c r="P628" s="247"/>
      <c r="Q628" s="248"/>
    </row>
    <row r="629" spans="1:17" ht="19.5" customHeight="1" x14ac:dyDescent="0.25">
      <c r="A629" s="237"/>
      <c r="B629" s="238"/>
      <c r="C629" s="239"/>
      <c r="D629" s="54"/>
      <c r="E629" s="20"/>
      <c r="F629" s="240"/>
      <c r="G629" s="241"/>
      <c r="H629" s="242"/>
      <c r="I629" s="243"/>
      <c r="J629" s="239"/>
      <c r="K629" s="241"/>
      <c r="L629" s="52"/>
      <c r="M629" s="244"/>
      <c r="N629" s="245"/>
      <c r="O629" s="246"/>
      <c r="P629" s="247"/>
      <c r="Q629" s="248"/>
    </row>
    <row r="630" spans="1:17" ht="19.5" customHeight="1" x14ac:dyDescent="0.25">
      <c r="A630" s="164"/>
      <c r="B630" s="165"/>
      <c r="C630" s="166"/>
      <c r="D630" s="167"/>
      <c r="E630" s="168"/>
      <c r="F630" s="169"/>
      <c r="G630" s="170"/>
      <c r="H630" s="171"/>
      <c r="I630" s="172"/>
      <c r="J630" s="166"/>
      <c r="K630" s="170"/>
      <c r="L630" s="173"/>
      <c r="M630" s="174"/>
      <c r="N630" s="175"/>
      <c r="O630" s="176"/>
      <c r="P630" s="177"/>
      <c r="Q630" s="178"/>
    </row>
    <row r="631" spans="1:17" ht="19.5" customHeight="1" x14ac:dyDescent="0.25">
      <c r="A631" s="237"/>
      <c r="B631" s="238"/>
      <c r="C631" s="239"/>
      <c r="D631" s="54"/>
      <c r="E631" s="20"/>
      <c r="F631" s="240"/>
      <c r="G631" s="241"/>
      <c r="H631" s="242"/>
      <c r="I631" s="243"/>
      <c r="J631" s="239"/>
      <c r="K631" s="241"/>
      <c r="L631" s="52"/>
      <c r="M631" s="244"/>
      <c r="N631" s="245"/>
      <c r="O631" s="246"/>
      <c r="P631" s="247"/>
      <c r="Q631" s="248"/>
    </row>
    <row r="632" spans="1:17" ht="19.5" customHeight="1" x14ac:dyDescent="0.25">
      <c r="A632" s="237"/>
      <c r="B632" s="238"/>
      <c r="C632" s="239"/>
      <c r="D632" s="54"/>
      <c r="E632" s="20"/>
      <c r="F632" s="240"/>
      <c r="G632" s="241"/>
      <c r="H632" s="242"/>
      <c r="I632" s="243"/>
      <c r="J632" s="239"/>
      <c r="K632" s="241"/>
      <c r="L632" s="52"/>
      <c r="M632" s="244"/>
      <c r="N632" s="245"/>
      <c r="O632" s="246"/>
      <c r="P632" s="247"/>
      <c r="Q632" s="248"/>
    </row>
    <row r="633" spans="1:17" ht="19.5" customHeight="1" x14ac:dyDescent="0.25">
      <c r="A633" s="237"/>
      <c r="B633" s="238"/>
      <c r="C633" s="239"/>
      <c r="D633" s="54"/>
      <c r="E633" s="19"/>
      <c r="F633" s="240"/>
      <c r="G633" s="241"/>
      <c r="H633" s="242"/>
      <c r="I633" s="243"/>
      <c r="J633" s="239"/>
      <c r="K633" s="241"/>
      <c r="L633" s="52"/>
      <c r="M633" s="244"/>
      <c r="N633" s="245"/>
      <c r="O633" s="246"/>
      <c r="P633" s="247"/>
      <c r="Q633" s="248"/>
    </row>
    <row r="634" spans="1:17" ht="19.5" customHeight="1" x14ac:dyDescent="0.25">
      <c r="A634" s="237"/>
      <c r="B634" s="238"/>
      <c r="C634" s="239"/>
      <c r="D634" s="134"/>
      <c r="E634" s="20"/>
      <c r="F634" s="240"/>
      <c r="G634" s="241"/>
      <c r="H634" s="242"/>
      <c r="I634" s="243"/>
      <c r="J634" s="239"/>
      <c r="K634" s="241"/>
      <c r="L634" s="52"/>
      <c r="M634" s="244"/>
      <c r="N634" s="245"/>
      <c r="O634" s="246"/>
      <c r="P634" s="247"/>
      <c r="Q634" s="248"/>
    </row>
    <row r="635" spans="1:17" ht="19.5" customHeight="1" x14ac:dyDescent="0.25">
      <c r="A635" s="149"/>
      <c r="B635" s="150"/>
      <c r="C635" s="151"/>
      <c r="D635" s="152"/>
      <c r="E635" s="153"/>
      <c r="F635" s="154"/>
      <c r="G635" s="155"/>
      <c r="H635" s="156"/>
      <c r="I635" s="157"/>
      <c r="J635" s="151"/>
      <c r="K635" s="155"/>
      <c r="L635" s="158"/>
      <c r="M635" s="159"/>
      <c r="N635" s="160"/>
      <c r="O635" s="161"/>
      <c r="P635" s="162"/>
      <c r="Q635" s="163"/>
    </row>
    <row r="636" spans="1:17" ht="19.5" customHeight="1" x14ac:dyDescent="0.25">
      <c r="A636" s="237"/>
      <c r="B636" s="238"/>
      <c r="C636" s="239"/>
      <c r="D636" s="54"/>
      <c r="E636" s="20"/>
      <c r="F636" s="240"/>
      <c r="G636" s="241"/>
      <c r="H636" s="242"/>
      <c r="I636" s="243"/>
      <c r="J636" s="239"/>
      <c r="K636" s="241"/>
      <c r="L636" s="52"/>
      <c r="M636" s="244"/>
      <c r="N636" s="245"/>
      <c r="O636" s="246"/>
      <c r="P636" s="247"/>
      <c r="Q636" s="248"/>
    </row>
    <row r="637" spans="1:17" ht="19.5" customHeight="1" x14ac:dyDescent="0.25">
      <c r="A637" s="149"/>
      <c r="B637" s="150"/>
      <c r="C637" s="151"/>
      <c r="D637" s="152"/>
      <c r="E637" s="153"/>
      <c r="F637" s="154"/>
      <c r="G637" s="155"/>
      <c r="H637" s="156"/>
      <c r="I637" s="157"/>
      <c r="J637" s="151"/>
      <c r="K637" s="155"/>
      <c r="L637" s="158"/>
      <c r="M637" s="159"/>
      <c r="N637" s="160"/>
      <c r="O637" s="161"/>
      <c r="P637" s="162"/>
      <c r="Q637" s="163"/>
    </row>
    <row r="638" spans="1:17" ht="19.5" customHeight="1" x14ac:dyDescent="0.25">
      <c r="A638" s="237"/>
      <c r="B638" s="238"/>
      <c r="C638" s="239"/>
      <c r="D638" s="54"/>
      <c r="E638" s="19"/>
      <c r="F638" s="240"/>
      <c r="G638" s="241"/>
      <c r="H638" s="242"/>
      <c r="I638" s="243"/>
      <c r="J638" s="239"/>
      <c r="K638" s="241"/>
      <c r="L638" s="52"/>
      <c r="M638" s="244"/>
      <c r="N638" s="245"/>
      <c r="O638" s="246"/>
      <c r="P638" s="247"/>
      <c r="Q638" s="248"/>
    </row>
    <row r="639" spans="1:17" ht="19.5" customHeight="1" x14ac:dyDescent="0.25">
      <c r="A639" s="237"/>
      <c r="B639" s="238"/>
      <c r="C639" s="239"/>
      <c r="D639" s="54"/>
      <c r="E639" s="20"/>
      <c r="F639" s="240"/>
      <c r="G639" s="241"/>
      <c r="H639" s="242"/>
      <c r="I639" s="243"/>
      <c r="J639" s="239"/>
      <c r="K639" s="241"/>
      <c r="L639" s="52"/>
      <c r="M639" s="244"/>
      <c r="N639" s="245"/>
      <c r="O639" s="246"/>
      <c r="P639" s="247"/>
      <c r="Q639" s="248"/>
    </row>
    <row r="640" spans="1:17" ht="19.5" customHeight="1" x14ac:dyDescent="0.25">
      <c r="A640" s="237"/>
      <c r="B640" s="238"/>
      <c r="C640" s="239"/>
      <c r="D640" s="54"/>
      <c r="E640" s="20"/>
      <c r="F640" s="240"/>
      <c r="G640" s="241"/>
      <c r="H640" s="242"/>
      <c r="I640" s="243"/>
      <c r="J640" s="239"/>
      <c r="K640" s="241"/>
      <c r="L640" s="52"/>
      <c r="M640" s="244"/>
      <c r="N640" s="245"/>
      <c r="O640" s="246"/>
      <c r="P640" s="247"/>
      <c r="Q640" s="248"/>
    </row>
    <row r="641" spans="1:17" ht="19.5" customHeight="1" x14ac:dyDescent="0.25">
      <c r="A641" s="237"/>
      <c r="B641" s="238"/>
      <c r="C641" s="239"/>
      <c r="D641" s="54"/>
      <c r="E641" s="20"/>
      <c r="F641" s="240"/>
      <c r="G641" s="241"/>
      <c r="H641" s="242"/>
      <c r="I641" s="243"/>
      <c r="J641" s="239"/>
      <c r="K641" s="241"/>
      <c r="L641" s="52"/>
      <c r="M641" s="244"/>
      <c r="N641" s="245"/>
      <c r="O641" s="246"/>
      <c r="P641" s="247"/>
      <c r="Q641" s="248"/>
    </row>
    <row r="642" spans="1:17" ht="19.5" customHeight="1" x14ac:dyDescent="0.25">
      <c r="A642" s="237"/>
      <c r="B642" s="238"/>
      <c r="C642" s="239"/>
      <c r="D642" s="54"/>
      <c r="E642" s="20"/>
      <c r="F642" s="240"/>
      <c r="G642" s="241"/>
      <c r="H642" s="242"/>
      <c r="I642" s="243"/>
      <c r="J642" s="239"/>
      <c r="K642" s="241"/>
      <c r="L642" s="52"/>
      <c r="M642" s="244"/>
      <c r="N642" s="245"/>
      <c r="O642" s="246"/>
      <c r="P642" s="247"/>
      <c r="Q642" s="248"/>
    </row>
    <row r="643" spans="1:17" ht="19.5" customHeight="1" x14ac:dyDescent="0.25">
      <c r="A643" s="237"/>
      <c r="B643" s="238"/>
      <c r="C643" s="239"/>
      <c r="D643" s="54"/>
      <c r="E643" s="20"/>
      <c r="F643" s="240"/>
      <c r="G643" s="241"/>
      <c r="H643" s="242"/>
      <c r="I643" s="243"/>
      <c r="J643" s="239"/>
      <c r="K643" s="241"/>
      <c r="L643" s="52"/>
      <c r="M643" s="244"/>
      <c r="N643" s="245"/>
      <c r="O643" s="246"/>
      <c r="P643" s="247"/>
      <c r="Q643" s="248"/>
    </row>
    <row r="644" spans="1:17" ht="19.5" customHeight="1" x14ac:dyDescent="0.25">
      <c r="A644" s="237"/>
      <c r="B644" s="238"/>
      <c r="C644" s="239"/>
      <c r="D644" s="54"/>
      <c r="E644" s="20"/>
      <c r="F644" s="240"/>
      <c r="G644" s="241"/>
      <c r="H644" s="242"/>
      <c r="I644" s="243"/>
      <c r="J644" s="239"/>
      <c r="K644" s="241"/>
      <c r="L644" s="52"/>
      <c r="M644" s="244"/>
      <c r="N644" s="245"/>
      <c r="O644" s="246"/>
      <c r="P644" s="247"/>
      <c r="Q644" s="248"/>
    </row>
    <row r="645" spans="1:17" ht="19.5" customHeight="1" x14ac:dyDescent="0.25">
      <c r="A645" s="237"/>
      <c r="B645" s="238"/>
      <c r="C645" s="239"/>
      <c r="D645" s="54"/>
      <c r="E645" s="53"/>
      <c r="F645" s="240"/>
      <c r="G645" s="241"/>
      <c r="H645" s="242"/>
      <c r="I645" s="243"/>
      <c r="J645" s="239"/>
      <c r="K645" s="241"/>
      <c r="L645" s="52"/>
      <c r="M645" s="244"/>
      <c r="N645" s="245"/>
      <c r="O645" s="246"/>
      <c r="P645" s="247"/>
      <c r="Q645" s="248"/>
    </row>
    <row r="646" spans="1:17" ht="19.5" customHeight="1" x14ac:dyDescent="0.25">
      <c r="A646" s="237"/>
      <c r="B646" s="238"/>
      <c r="C646" s="239"/>
      <c r="D646" s="54"/>
      <c r="E646" s="20"/>
      <c r="F646" s="240"/>
      <c r="G646" s="241"/>
      <c r="H646" s="242"/>
      <c r="I646" s="243"/>
      <c r="J646" s="239"/>
      <c r="K646" s="241"/>
      <c r="L646" s="52"/>
      <c r="M646" s="244"/>
      <c r="N646" s="245"/>
      <c r="O646" s="246"/>
      <c r="P646" s="247"/>
      <c r="Q646" s="248"/>
    </row>
    <row r="647" spans="1:17" ht="19.5" customHeight="1" x14ac:dyDescent="0.25">
      <c r="A647" s="237"/>
      <c r="B647" s="238"/>
      <c r="C647" s="239"/>
      <c r="D647" s="54"/>
      <c r="E647" s="20"/>
      <c r="F647" s="240"/>
      <c r="G647" s="241"/>
      <c r="H647" s="242"/>
      <c r="I647" s="243"/>
      <c r="J647" s="239"/>
      <c r="K647" s="241"/>
      <c r="L647" s="52"/>
      <c r="M647" s="244"/>
      <c r="N647" s="245"/>
      <c r="O647" s="246"/>
      <c r="P647" s="247"/>
      <c r="Q647" s="248"/>
    </row>
    <row r="648" spans="1:17" ht="19.5" customHeight="1" x14ac:dyDescent="0.25">
      <c r="A648" s="237"/>
      <c r="B648" s="238"/>
      <c r="C648" s="239"/>
      <c r="D648" s="54"/>
      <c r="E648" s="20"/>
      <c r="F648" s="240"/>
      <c r="G648" s="241"/>
      <c r="H648" s="242"/>
      <c r="I648" s="243"/>
      <c r="J648" s="239"/>
      <c r="K648" s="241"/>
      <c r="L648" s="52"/>
      <c r="M648" s="244"/>
      <c r="N648" s="245"/>
      <c r="O648" s="246"/>
      <c r="P648" s="247"/>
      <c r="Q648" s="248"/>
    </row>
    <row r="649" spans="1:17" ht="19.5" customHeight="1" x14ac:dyDescent="0.25">
      <c r="A649" s="149"/>
      <c r="B649" s="150"/>
      <c r="C649" s="151"/>
      <c r="D649" s="152"/>
      <c r="E649" s="179"/>
      <c r="F649" s="154"/>
      <c r="G649" s="155"/>
      <c r="H649" s="156"/>
      <c r="I649" s="157"/>
      <c r="J649" s="151"/>
      <c r="K649" s="155"/>
      <c r="L649" s="158"/>
      <c r="M649" s="159"/>
      <c r="N649" s="160"/>
      <c r="O649" s="161"/>
      <c r="P649" s="162"/>
      <c r="Q649" s="163"/>
    </row>
    <row r="650" spans="1:17" ht="19.5" customHeight="1" x14ac:dyDescent="0.25">
      <c r="A650" s="237"/>
      <c r="B650" s="238"/>
      <c r="C650" s="239"/>
      <c r="D650" s="54"/>
      <c r="E650" s="20"/>
      <c r="F650" s="240"/>
      <c r="G650" s="241"/>
      <c r="H650" s="242"/>
      <c r="I650" s="243"/>
      <c r="J650" s="239"/>
      <c r="K650" s="241"/>
      <c r="L650" s="52"/>
      <c r="M650" s="244"/>
      <c r="N650" s="245"/>
      <c r="O650" s="246"/>
      <c r="P650" s="247"/>
      <c r="Q650" s="248"/>
    </row>
    <row r="651" spans="1:17" ht="19.5" customHeight="1" x14ac:dyDescent="0.25">
      <c r="A651" s="237"/>
      <c r="B651" s="238"/>
      <c r="C651" s="239"/>
      <c r="D651" s="54"/>
      <c r="E651" s="19"/>
      <c r="F651" s="240"/>
      <c r="G651" s="241"/>
      <c r="H651" s="242"/>
      <c r="I651" s="243"/>
      <c r="J651" s="239"/>
      <c r="K651" s="241"/>
      <c r="L651" s="52"/>
      <c r="M651" s="244"/>
      <c r="N651" s="245"/>
      <c r="O651" s="246"/>
      <c r="P651" s="247"/>
      <c r="Q651" s="248"/>
    </row>
    <row r="652" spans="1:17" ht="19.5" customHeight="1" x14ac:dyDescent="0.25">
      <c r="A652" s="237"/>
      <c r="B652" s="238"/>
      <c r="C652" s="239"/>
      <c r="D652" s="54"/>
      <c r="E652" s="20"/>
      <c r="F652" s="240"/>
      <c r="G652" s="241"/>
      <c r="H652" s="242"/>
      <c r="I652" s="243"/>
      <c r="J652" s="239"/>
      <c r="K652" s="241"/>
      <c r="L652" s="52"/>
      <c r="M652" s="244"/>
      <c r="N652" s="245"/>
      <c r="O652" s="246"/>
      <c r="P652" s="247"/>
      <c r="Q652" s="248"/>
    </row>
    <row r="653" spans="1:17" ht="19.5" customHeight="1" x14ac:dyDescent="0.25">
      <c r="A653" s="237"/>
      <c r="B653" s="238"/>
      <c r="C653" s="239"/>
      <c r="D653" s="54"/>
      <c r="E653" s="20"/>
      <c r="F653" s="240"/>
      <c r="G653" s="241"/>
      <c r="H653" s="242"/>
      <c r="I653" s="243"/>
      <c r="J653" s="239"/>
      <c r="K653" s="241"/>
      <c r="L653" s="52"/>
      <c r="M653" s="244"/>
      <c r="N653" s="245"/>
      <c r="O653" s="246"/>
      <c r="P653" s="247"/>
      <c r="Q653" s="248"/>
    </row>
    <row r="654" spans="1:17" ht="19.5" customHeight="1" x14ac:dyDescent="0.25">
      <c r="A654" s="237"/>
      <c r="B654" s="238"/>
      <c r="C654" s="239"/>
      <c r="D654" s="54"/>
      <c r="E654" s="20"/>
      <c r="F654" s="240"/>
      <c r="G654" s="241"/>
      <c r="H654" s="242"/>
      <c r="I654" s="243"/>
      <c r="J654" s="239"/>
      <c r="K654" s="241"/>
      <c r="L654" s="52"/>
      <c r="M654" s="244"/>
      <c r="N654" s="245"/>
      <c r="O654" s="246"/>
      <c r="P654" s="247"/>
      <c r="Q654" s="248"/>
    </row>
    <row r="655" spans="1:17" ht="19.5" customHeight="1" x14ac:dyDescent="0.25">
      <c r="A655" s="164"/>
      <c r="B655" s="165"/>
      <c r="C655" s="166"/>
      <c r="D655" s="167"/>
      <c r="E655" s="168"/>
      <c r="F655" s="169"/>
      <c r="G655" s="170"/>
      <c r="H655" s="171"/>
      <c r="I655" s="172"/>
      <c r="J655" s="166"/>
      <c r="K655" s="170"/>
      <c r="L655" s="173"/>
      <c r="M655" s="174"/>
      <c r="N655" s="175"/>
      <c r="O655" s="176"/>
      <c r="P655" s="177"/>
      <c r="Q655" s="178"/>
    </row>
    <row r="656" spans="1:17" ht="19.5" customHeight="1" x14ac:dyDescent="0.25">
      <c r="A656" s="237"/>
      <c r="B656" s="238"/>
      <c r="C656" s="239"/>
      <c r="D656" s="54"/>
      <c r="E656" s="20"/>
      <c r="F656" s="240"/>
      <c r="G656" s="241"/>
      <c r="H656" s="242"/>
      <c r="I656" s="243"/>
      <c r="J656" s="239"/>
      <c r="K656" s="241"/>
      <c r="L656" s="52"/>
      <c r="M656" s="244"/>
      <c r="N656" s="245"/>
      <c r="O656" s="246"/>
      <c r="P656" s="247"/>
      <c r="Q656" s="248"/>
    </row>
    <row r="657" spans="1:17" ht="19.5" customHeight="1" x14ac:dyDescent="0.25">
      <c r="A657" s="237"/>
      <c r="B657" s="238"/>
      <c r="C657" s="239"/>
      <c r="D657" s="54"/>
      <c r="E657" s="20"/>
      <c r="F657" s="240"/>
      <c r="G657" s="241"/>
      <c r="H657" s="242"/>
      <c r="I657" s="243"/>
      <c r="J657" s="239"/>
      <c r="K657" s="241"/>
      <c r="L657" s="52"/>
      <c r="M657" s="244"/>
      <c r="N657" s="245"/>
      <c r="O657" s="246"/>
      <c r="P657" s="247"/>
      <c r="Q657" s="248"/>
    </row>
    <row r="658" spans="1:17" ht="19.5" customHeight="1" x14ac:dyDescent="0.25">
      <c r="A658" s="237"/>
      <c r="B658" s="238"/>
      <c r="C658" s="239"/>
      <c r="D658" s="54"/>
      <c r="E658" s="20"/>
      <c r="F658" s="240"/>
      <c r="G658" s="241"/>
      <c r="H658" s="242"/>
      <c r="I658" s="243"/>
      <c r="J658" s="239"/>
      <c r="K658" s="241"/>
      <c r="L658" s="52"/>
      <c r="M658" s="244"/>
      <c r="N658" s="245"/>
      <c r="O658" s="246"/>
      <c r="P658" s="247"/>
      <c r="Q658" s="248"/>
    </row>
    <row r="659" spans="1:17" ht="19.5" customHeight="1" x14ac:dyDescent="0.25">
      <c r="A659" s="237"/>
      <c r="B659" s="238"/>
      <c r="C659" s="239"/>
      <c r="D659" s="54"/>
      <c r="E659" s="20"/>
      <c r="F659" s="240"/>
      <c r="G659" s="241"/>
      <c r="H659" s="242"/>
      <c r="I659" s="243"/>
      <c r="J659" s="239"/>
      <c r="K659" s="241"/>
      <c r="L659" s="52"/>
      <c r="M659" s="244"/>
      <c r="N659" s="245"/>
      <c r="O659" s="246"/>
      <c r="P659" s="247"/>
      <c r="Q659" s="248"/>
    </row>
    <row r="660" spans="1:17" ht="19.5" customHeight="1" x14ac:dyDescent="0.25">
      <c r="A660" s="237"/>
      <c r="B660" s="238"/>
      <c r="C660" s="239"/>
      <c r="D660" s="54"/>
      <c r="E660" s="20"/>
      <c r="F660" s="240"/>
      <c r="G660" s="241"/>
      <c r="H660" s="242"/>
      <c r="I660" s="243"/>
      <c r="J660" s="239"/>
      <c r="K660" s="241"/>
      <c r="L660" s="52"/>
      <c r="M660" s="244"/>
      <c r="N660" s="245"/>
      <c r="O660" s="246"/>
      <c r="P660" s="247"/>
      <c r="Q660" s="248"/>
    </row>
    <row r="661" spans="1:17" ht="19.5" customHeight="1" x14ac:dyDescent="0.25">
      <c r="A661" s="149"/>
      <c r="B661" s="150"/>
      <c r="C661" s="151"/>
      <c r="D661" s="152"/>
      <c r="E661" s="153"/>
      <c r="F661" s="154"/>
      <c r="G661" s="155"/>
      <c r="H661" s="156"/>
      <c r="I661" s="157"/>
      <c r="J661" s="151"/>
      <c r="K661" s="155"/>
      <c r="L661" s="158"/>
      <c r="M661" s="159"/>
      <c r="N661" s="160"/>
      <c r="O661" s="161"/>
      <c r="P661" s="162"/>
      <c r="Q661" s="163"/>
    </row>
    <row r="662" spans="1:17" ht="19.5" customHeight="1" x14ac:dyDescent="0.25">
      <c r="A662" s="237"/>
      <c r="B662" s="238"/>
      <c r="C662" s="239"/>
      <c r="D662" s="54"/>
      <c r="E662" s="20"/>
      <c r="F662" s="240"/>
      <c r="G662" s="241"/>
      <c r="H662" s="242"/>
      <c r="I662" s="243"/>
      <c r="J662" s="239"/>
      <c r="K662" s="241"/>
      <c r="L662" s="52"/>
      <c r="M662" s="244"/>
      <c r="N662" s="245"/>
      <c r="O662" s="246"/>
      <c r="P662" s="247"/>
      <c r="Q662" s="248"/>
    </row>
    <row r="663" spans="1:17" ht="19.5" customHeight="1" x14ac:dyDescent="0.25">
      <c r="A663" s="237"/>
      <c r="B663" s="238"/>
      <c r="C663" s="239"/>
      <c r="D663" s="54"/>
      <c r="E663" s="19"/>
      <c r="F663" s="240"/>
      <c r="G663" s="241"/>
      <c r="H663" s="242"/>
      <c r="I663" s="243"/>
      <c r="J663" s="239"/>
      <c r="K663" s="241"/>
      <c r="L663" s="52"/>
      <c r="M663" s="244"/>
      <c r="N663" s="245"/>
      <c r="O663" s="246"/>
      <c r="P663" s="247"/>
      <c r="Q663" s="248"/>
    </row>
    <row r="664" spans="1:17" ht="19.5" customHeight="1" x14ac:dyDescent="0.25">
      <c r="A664" s="237"/>
      <c r="B664" s="238"/>
      <c r="C664" s="239"/>
      <c r="D664" s="54"/>
      <c r="E664" s="19"/>
      <c r="F664" s="240"/>
      <c r="G664" s="241"/>
      <c r="H664" s="242"/>
      <c r="I664" s="243"/>
      <c r="J664" s="239"/>
      <c r="K664" s="241"/>
      <c r="L664" s="52"/>
      <c r="M664" s="244"/>
      <c r="N664" s="245"/>
      <c r="O664" s="246"/>
      <c r="P664" s="247"/>
      <c r="Q664" s="248"/>
    </row>
    <row r="665" spans="1:17" ht="19.5" customHeight="1" x14ac:dyDescent="0.25">
      <c r="A665" s="237"/>
      <c r="B665" s="238"/>
      <c r="C665" s="239"/>
      <c r="D665" s="54"/>
      <c r="E665" s="20"/>
      <c r="F665" s="240"/>
      <c r="G665" s="241"/>
      <c r="H665" s="242"/>
      <c r="I665" s="243"/>
      <c r="J665" s="239"/>
      <c r="K665" s="241"/>
      <c r="L665" s="52"/>
      <c r="M665" s="244"/>
      <c r="N665" s="245"/>
      <c r="O665" s="246"/>
      <c r="P665" s="247"/>
      <c r="Q665" s="248"/>
    </row>
    <row r="666" spans="1:17" ht="19.5" customHeight="1" x14ac:dyDescent="0.25">
      <c r="A666" s="237"/>
      <c r="B666" s="238"/>
      <c r="C666" s="239"/>
      <c r="D666" s="54"/>
      <c r="E666" s="20"/>
      <c r="F666" s="240"/>
      <c r="G666" s="241"/>
      <c r="H666" s="242"/>
      <c r="I666" s="243"/>
      <c r="J666" s="239"/>
      <c r="K666" s="241"/>
      <c r="L666" s="52"/>
      <c r="M666" s="244"/>
      <c r="N666" s="245"/>
      <c r="O666" s="246"/>
      <c r="P666" s="247"/>
      <c r="Q666" s="248"/>
    </row>
    <row r="667" spans="1:17" ht="19.5" customHeight="1" x14ac:dyDescent="0.25">
      <c r="A667" s="237"/>
      <c r="B667" s="238"/>
      <c r="C667" s="239"/>
      <c r="D667" s="54"/>
      <c r="E667" s="20"/>
      <c r="F667" s="240"/>
      <c r="G667" s="241"/>
      <c r="H667" s="242"/>
      <c r="I667" s="243"/>
      <c r="J667" s="239"/>
      <c r="K667" s="241"/>
      <c r="L667" s="52"/>
      <c r="M667" s="244"/>
      <c r="N667" s="245"/>
      <c r="O667" s="246"/>
      <c r="P667" s="247"/>
      <c r="Q667" s="248"/>
    </row>
    <row r="668" spans="1:17" ht="19.5" customHeight="1" x14ac:dyDescent="0.25">
      <c r="A668" s="237"/>
      <c r="B668" s="238"/>
      <c r="C668" s="239"/>
      <c r="D668" s="54"/>
      <c r="E668" s="20"/>
      <c r="F668" s="240"/>
      <c r="G668" s="241"/>
      <c r="H668" s="242"/>
      <c r="I668" s="243"/>
      <c r="J668" s="239"/>
      <c r="K668" s="241"/>
      <c r="L668" s="52"/>
      <c r="M668" s="244"/>
      <c r="N668" s="245"/>
      <c r="O668" s="246"/>
      <c r="P668" s="247"/>
      <c r="Q668" s="248"/>
    </row>
    <row r="669" spans="1:17" ht="19.5" customHeight="1" x14ac:dyDescent="0.25">
      <c r="A669" s="237"/>
      <c r="B669" s="238"/>
      <c r="C669" s="239"/>
      <c r="D669" s="54"/>
      <c r="E669" s="20"/>
      <c r="F669" s="240"/>
      <c r="G669" s="241"/>
      <c r="H669" s="242"/>
      <c r="I669" s="243"/>
      <c r="J669" s="239"/>
      <c r="K669" s="241"/>
      <c r="L669" s="52"/>
      <c r="M669" s="244"/>
      <c r="N669" s="245"/>
      <c r="O669" s="246"/>
      <c r="P669" s="247"/>
      <c r="Q669" s="248"/>
    </row>
    <row r="670" spans="1:17" ht="19.5" customHeight="1" x14ac:dyDescent="0.25">
      <c r="A670" s="237"/>
      <c r="B670" s="238"/>
      <c r="C670" s="239"/>
      <c r="D670" s="54"/>
      <c r="E670" s="20"/>
      <c r="F670" s="240"/>
      <c r="G670" s="241"/>
      <c r="H670" s="242"/>
      <c r="I670" s="243"/>
      <c r="J670" s="239"/>
      <c r="K670" s="241"/>
      <c r="L670" s="52"/>
      <c r="M670" s="244"/>
      <c r="N670" s="245"/>
      <c r="O670" s="246"/>
      <c r="P670" s="247"/>
      <c r="Q670" s="248"/>
    </row>
    <row r="671" spans="1:17" ht="19.5" customHeight="1" x14ac:dyDescent="0.25">
      <c r="A671" s="237"/>
      <c r="B671" s="238"/>
      <c r="C671" s="239"/>
      <c r="D671" s="54"/>
      <c r="E671" s="20"/>
      <c r="F671" s="240"/>
      <c r="G671" s="241"/>
      <c r="H671" s="242"/>
      <c r="I671" s="243"/>
      <c r="J671" s="239"/>
      <c r="K671" s="241"/>
      <c r="L671" s="52"/>
      <c r="M671" s="244"/>
      <c r="N671" s="245"/>
      <c r="O671" s="246"/>
      <c r="P671" s="247"/>
      <c r="Q671" s="248"/>
    </row>
    <row r="672" spans="1:17" ht="19.5" customHeight="1" x14ac:dyDescent="0.25">
      <c r="A672" s="237"/>
      <c r="B672" s="238"/>
      <c r="C672" s="239"/>
      <c r="D672" s="54"/>
      <c r="E672" s="20"/>
      <c r="F672" s="240"/>
      <c r="G672" s="241"/>
      <c r="H672" s="242"/>
      <c r="I672" s="243"/>
      <c r="J672" s="239"/>
      <c r="K672" s="241"/>
      <c r="L672" s="52"/>
      <c r="M672" s="244"/>
      <c r="N672" s="245"/>
      <c r="O672" s="246"/>
      <c r="P672" s="247"/>
      <c r="Q672" s="248"/>
    </row>
    <row r="673" spans="1:17" ht="19.5" customHeight="1" x14ac:dyDescent="0.25">
      <c r="A673" s="237"/>
      <c r="B673" s="238"/>
      <c r="C673" s="239"/>
      <c r="D673" s="54"/>
      <c r="E673" s="19"/>
      <c r="F673" s="240"/>
      <c r="G673" s="241"/>
      <c r="H673" s="242"/>
      <c r="I673" s="243"/>
      <c r="J673" s="239"/>
      <c r="K673" s="241"/>
      <c r="L673" s="52"/>
      <c r="M673" s="244"/>
      <c r="N673" s="245"/>
      <c r="O673" s="246"/>
      <c r="P673" s="247"/>
      <c r="Q673" s="248"/>
    </row>
    <row r="674" spans="1:17" ht="19.5" customHeight="1" x14ac:dyDescent="0.25">
      <c r="A674" s="237"/>
      <c r="B674" s="238"/>
      <c r="C674" s="239"/>
      <c r="D674" s="54"/>
      <c r="E674" s="20"/>
      <c r="F674" s="240"/>
      <c r="G674" s="241"/>
      <c r="H674" s="242"/>
      <c r="I674" s="243"/>
      <c r="J674" s="239"/>
      <c r="K674" s="241"/>
      <c r="L674" s="52"/>
      <c r="M674" s="244"/>
      <c r="N674" s="245"/>
      <c r="O674" s="246"/>
      <c r="P674" s="247"/>
      <c r="Q674" s="248"/>
    </row>
    <row r="675" spans="1:17" ht="19.5" customHeight="1" x14ac:dyDescent="0.25">
      <c r="A675" s="237"/>
      <c r="B675" s="238"/>
      <c r="C675" s="239"/>
      <c r="D675" s="54"/>
      <c r="E675" s="20"/>
      <c r="F675" s="240"/>
      <c r="G675" s="241"/>
      <c r="H675" s="242"/>
      <c r="I675" s="243"/>
      <c r="J675" s="239"/>
      <c r="K675" s="241"/>
      <c r="L675" s="52"/>
      <c r="M675" s="244"/>
      <c r="N675" s="245"/>
      <c r="O675" s="246"/>
      <c r="P675" s="247"/>
      <c r="Q675" s="248"/>
    </row>
    <row r="676" spans="1:17" ht="19.5" customHeight="1" x14ac:dyDescent="0.25">
      <c r="A676" s="164"/>
      <c r="B676" s="165"/>
      <c r="C676" s="166"/>
      <c r="D676" s="167"/>
      <c r="E676" s="180"/>
      <c r="F676" s="169"/>
      <c r="G676" s="170"/>
      <c r="H676" s="171"/>
      <c r="I676" s="172"/>
      <c r="J676" s="166"/>
      <c r="K676" s="170"/>
      <c r="L676" s="173"/>
      <c r="M676" s="174"/>
      <c r="N676" s="175"/>
      <c r="O676" s="176"/>
      <c r="P676" s="177"/>
      <c r="Q676" s="178"/>
    </row>
    <row r="677" spans="1:17" ht="19.5" customHeight="1" x14ac:dyDescent="0.25">
      <c r="A677" s="237"/>
      <c r="B677" s="238"/>
      <c r="C677" s="239"/>
      <c r="D677" s="54"/>
      <c r="E677" s="19"/>
      <c r="F677" s="240"/>
      <c r="G677" s="241"/>
      <c r="H677" s="242"/>
      <c r="I677" s="243"/>
      <c r="J677" s="239"/>
      <c r="K677" s="241"/>
      <c r="L677" s="52"/>
      <c r="M677" s="244"/>
      <c r="N677" s="245"/>
      <c r="O677" s="246"/>
      <c r="P677" s="247"/>
      <c r="Q677" s="248"/>
    </row>
    <row r="678" spans="1:17" ht="19.5" customHeight="1" x14ac:dyDescent="0.25">
      <c r="A678" s="237"/>
      <c r="B678" s="238"/>
      <c r="C678" s="239"/>
      <c r="D678" s="54"/>
      <c r="E678" s="20"/>
      <c r="F678" s="240"/>
      <c r="G678" s="241"/>
      <c r="H678" s="242"/>
      <c r="I678" s="243"/>
      <c r="J678" s="239"/>
      <c r="K678" s="241"/>
      <c r="L678" s="52"/>
      <c r="M678" s="244"/>
      <c r="N678" s="245"/>
      <c r="O678" s="246"/>
      <c r="P678" s="247"/>
      <c r="Q678" s="248"/>
    </row>
    <row r="679" spans="1:17" ht="19.5" customHeight="1" x14ac:dyDescent="0.25">
      <c r="A679" s="237"/>
      <c r="B679" s="238"/>
      <c r="C679" s="239"/>
      <c r="D679" s="54"/>
      <c r="E679" s="19"/>
      <c r="F679" s="240"/>
      <c r="G679" s="241"/>
      <c r="H679" s="242"/>
      <c r="I679" s="243"/>
      <c r="J679" s="239"/>
      <c r="K679" s="241"/>
      <c r="L679" s="52"/>
      <c r="M679" s="244"/>
      <c r="N679" s="245"/>
      <c r="O679" s="246"/>
      <c r="P679" s="247"/>
      <c r="Q679" s="248"/>
    </row>
    <row r="680" spans="1:17" ht="19.5" customHeight="1" x14ac:dyDescent="0.25">
      <c r="A680" s="164"/>
      <c r="B680" s="165"/>
      <c r="C680" s="166"/>
      <c r="D680" s="167"/>
      <c r="E680" s="168"/>
      <c r="F680" s="169"/>
      <c r="G680" s="170"/>
      <c r="H680" s="171"/>
      <c r="I680" s="172"/>
      <c r="J680" s="166"/>
      <c r="K680" s="170"/>
      <c r="L680" s="173"/>
      <c r="M680" s="174"/>
      <c r="N680" s="175"/>
      <c r="O680" s="176"/>
      <c r="P680" s="177"/>
      <c r="Q680" s="178"/>
    </row>
    <row r="681" spans="1:17" ht="19.5" customHeight="1" x14ac:dyDescent="0.25">
      <c r="A681" s="237"/>
      <c r="B681" s="238"/>
      <c r="C681" s="239"/>
      <c r="D681" s="54"/>
      <c r="E681" s="20"/>
      <c r="F681" s="240"/>
      <c r="G681" s="241"/>
      <c r="H681" s="242"/>
      <c r="I681" s="243"/>
      <c r="J681" s="239"/>
      <c r="K681" s="241"/>
      <c r="L681" s="52"/>
      <c r="M681" s="244"/>
      <c r="N681" s="245"/>
      <c r="O681" s="246"/>
      <c r="P681" s="247"/>
      <c r="Q681" s="248"/>
    </row>
    <row r="682" spans="1:17" ht="19.5" customHeight="1" x14ac:dyDescent="0.25">
      <c r="A682" s="237"/>
      <c r="B682" s="238"/>
      <c r="C682" s="239"/>
      <c r="D682" s="54"/>
      <c r="E682" s="20"/>
      <c r="F682" s="240"/>
      <c r="G682" s="241"/>
      <c r="H682" s="242"/>
      <c r="I682" s="243"/>
      <c r="J682" s="239"/>
      <c r="K682" s="241"/>
      <c r="L682" s="52"/>
      <c r="M682" s="244"/>
      <c r="N682" s="245"/>
      <c r="O682" s="246"/>
      <c r="P682" s="247"/>
      <c r="Q682" s="248"/>
    </row>
    <row r="683" spans="1:17" ht="19.5" customHeight="1" x14ac:dyDescent="0.25">
      <c r="A683" s="237"/>
      <c r="B683" s="238"/>
      <c r="C683" s="239"/>
      <c r="D683" s="54"/>
      <c r="E683" s="19"/>
      <c r="F683" s="240"/>
      <c r="G683" s="241"/>
      <c r="H683" s="242"/>
      <c r="I683" s="243"/>
      <c r="J683" s="239"/>
      <c r="K683" s="241"/>
      <c r="L683" s="52"/>
      <c r="M683" s="244"/>
      <c r="N683" s="245"/>
      <c r="O683" s="246"/>
      <c r="P683" s="247"/>
      <c r="Q683" s="248"/>
    </row>
    <row r="684" spans="1:17" ht="19.5" customHeight="1" x14ac:dyDescent="0.25">
      <c r="A684" s="237"/>
      <c r="B684" s="238"/>
      <c r="C684" s="239"/>
      <c r="D684" s="54"/>
      <c r="E684" s="20"/>
      <c r="F684" s="240"/>
      <c r="G684" s="241"/>
      <c r="H684" s="242"/>
      <c r="I684" s="243"/>
      <c r="J684" s="239"/>
      <c r="K684" s="241"/>
      <c r="L684" s="52"/>
      <c r="M684" s="244"/>
      <c r="N684" s="245"/>
      <c r="O684" s="246"/>
      <c r="P684" s="247"/>
      <c r="Q684" s="248"/>
    </row>
    <row r="685" spans="1:17" ht="19.5" customHeight="1" x14ac:dyDescent="0.25">
      <c r="A685" s="237"/>
      <c r="B685" s="238"/>
      <c r="C685" s="239"/>
      <c r="D685" s="54"/>
      <c r="E685" s="20"/>
      <c r="F685" s="240"/>
      <c r="G685" s="241"/>
      <c r="H685" s="242"/>
      <c r="I685" s="243"/>
      <c r="J685" s="239"/>
      <c r="K685" s="241"/>
      <c r="L685" s="52"/>
      <c r="M685" s="244"/>
      <c r="N685" s="245"/>
      <c r="O685" s="246"/>
      <c r="P685" s="247"/>
      <c r="Q685" s="248"/>
    </row>
    <row r="686" spans="1:17" ht="19.5" customHeight="1" x14ac:dyDescent="0.25">
      <c r="A686" s="237"/>
      <c r="B686" s="238"/>
      <c r="C686" s="239"/>
      <c r="D686" s="54"/>
      <c r="E686" s="20"/>
      <c r="F686" s="240"/>
      <c r="G686" s="241"/>
      <c r="H686" s="242"/>
      <c r="I686" s="243"/>
      <c r="J686" s="239"/>
      <c r="K686" s="241"/>
      <c r="L686" s="52"/>
      <c r="M686" s="244"/>
      <c r="N686" s="245"/>
      <c r="O686" s="246"/>
      <c r="P686" s="247"/>
      <c r="Q686" s="248"/>
    </row>
    <row r="687" spans="1:17" ht="19.5" customHeight="1" x14ac:dyDescent="0.25">
      <c r="A687" s="237"/>
      <c r="B687" s="238"/>
      <c r="C687" s="239"/>
      <c r="D687" s="54"/>
      <c r="E687" s="20"/>
      <c r="F687" s="240"/>
      <c r="G687" s="241"/>
      <c r="H687" s="242"/>
      <c r="I687" s="243"/>
      <c r="J687" s="239"/>
      <c r="K687" s="241"/>
      <c r="L687" s="52"/>
      <c r="M687" s="244"/>
      <c r="N687" s="245"/>
      <c r="O687" s="246"/>
      <c r="P687" s="247"/>
      <c r="Q687" s="248"/>
    </row>
    <row r="688" spans="1:17" ht="19.5" customHeight="1" x14ac:dyDescent="0.25">
      <c r="A688" s="237"/>
      <c r="B688" s="238"/>
      <c r="C688" s="239"/>
      <c r="D688" s="54"/>
      <c r="E688" s="20"/>
      <c r="F688" s="240"/>
      <c r="G688" s="241"/>
      <c r="H688" s="242"/>
      <c r="I688" s="243"/>
      <c r="J688" s="239"/>
      <c r="K688" s="241"/>
      <c r="L688" s="52"/>
      <c r="M688" s="244"/>
      <c r="N688" s="245"/>
      <c r="O688" s="246"/>
      <c r="P688" s="247"/>
      <c r="Q688" s="248"/>
    </row>
    <row r="689" spans="1:17" ht="19.5" customHeight="1" x14ac:dyDescent="0.25">
      <c r="A689" s="237"/>
      <c r="B689" s="238"/>
      <c r="C689" s="239"/>
      <c r="D689" s="54"/>
      <c r="E689" s="20"/>
      <c r="F689" s="240"/>
      <c r="G689" s="241"/>
      <c r="H689" s="242"/>
      <c r="I689" s="243"/>
      <c r="J689" s="239"/>
      <c r="K689" s="241"/>
      <c r="L689" s="52"/>
      <c r="M689" s="244"/>
      <c r="N689" s="245"/>
      <c r="O689" s="246"/>
      <c r="P689" s="247"/>
      <c r="Q689" s="248"/>
    </row>
    <row r="690" spans="1:17" ht="19.5" customHeight="1" x14ac:dyDescent="0.25">
      <c r="A690" s="237"/>
      <c r="B690" s="238"/>
      <c r="C690" s="239"/>
      <c r="D690" s="54"/>
      <c r="E690" s="20"/>
      <c r="F690" s="240"/>
      <c r="G690" s="241"/>
      <c r="H690" s="242"/>
      <c r="I690" s="243"/>
      <c r="J690" s="239"/>
      <c r="K690" s="241"/>
      <c r="L690" s="52"/>
      <c r="M690" s="244"/>
      <c r="N690" s="245"/>
      <c r="O690" s="246"/>
      <c r="P690" s="247"/>
      <c r="Q690" s="248"/>
    </row>
    <row r="691" spans="1:17" ht="19.5" customHeight="1" x14ac:dyDescent="0.25">
      <c r="A691" s="237"/>
      <c r="B691" s="238"/>
      <c r="C691" s="239"/>
      <c r="D691" s="54"/>
      <c r="E691" s="20"/>
      <c r="F691" s="240"/>
      <c r="G691" s="241"/>
      <c r="H691" s="242"/>
      <c r="I691" s="243"/>
      <c r="J691" s="239"/>
      <c r="K691" s="241"/>
      <c r="L691" s="52"/>
      <c r="M691" s="244"/>
      <c r="N691" s="245"/>
      <c r="O691" s="246"/>
      <c r="P691" s="247"/>
      <c r="Q691" s="248"/>
    </row>
    <row r="692" spans="1:17" ht="19.5" customHeight="1" x14ac:dyDescent="0.25">
      <c r="A692" s="237"/>
      <c r="B692" s="238"/>
      <c r="C692" s="239"/>
      <c r="D692" s="54"/>
      <c r="E692" s="20"/>
      <c r="F692" s="240"/>
      <c r="G692" s="241"/>
      <c r="H692" s="242"/>
      <c r="I692" s="243"/>
      <c r="J692" s="239"/>
      <c r="K692" s="241"/>
      <c r="L692" s="52"/>
      <c r="M692" s="244"/>
      <c r="N692" s="245"/>
      <c r="O692" s="246"/>
      <c r="P692" s="247"/>
      <c r="Q692" s="248"/>
    </row>
    <row r="693" spans="1:17" ht="19.5" customHeight="1" x14ac:dyDescent="0.25">
      <c r="A693" s="237"/>
      <c r="B693" s="238"/>
      <c r="C693" s="239"/>
      <c r="D693" s="54"/>
      <c r="E693" s="20"/>
      <c r="F693" s="240"/>
      <c r="G693" s="241"/>
      <c r="H693" s="242"/>
      <c r="I693" s="243"/>
      <c r="J693" s="239"/>
      <c r="K693" s="241"/>
      <c r="L693" s="52"/>
      <c r="M693" s="244"/>
      <c r="N693" s="245"/>
      <c r="O693" s="246"/>
      <c r="P693" s="247"/>
      <c r="Q693" s="248"/>
    </row>
    <row r="694" spans="1:17" ht="19.5" customHeight="1" x14ac:dyDescent="0.25">
      <c r="A694" s="237"/>
      <c r="B694" s="238"/>
      <c r="C694" s="239"/>
      <c r="D694" s="54"/>
      <c r="E694" s="20"/>
      <c r="F694" s="240"/>
      <c r="G694" s="241"/>
      <c r="H694" s="242"/>
      <c r="I694" s="243"/>
      <c r="J694" s="239"/>
      <c r="K694" s="241"/>
      <c r="L694" s="52"/>
      <c r="M694" s="244"/>
      <c r="N694" s="245"/>
      <c r="O694" s="246"/>
      <c r="P694" s="247"/>
      <c r="Q694" s="248"/>
    </row>
    <row r="695" spans="1:17" ht="19.5" customHeight="1" x14ac:dyDescent="0.25">
      <c r="A695" s="237"/>
      <c r="B695" s="238"/>
      <c r="C695" s="239"/>
      <c r="D695" s="54"/>
      <c r="E695" s="20"/>
      <c r="F695" s="240"/>
      <c r="G695" s="241"/>
      <c r="H695" s="242"/>
      <c r="I695" s="243"/>
      <c r="J695" s="239"/>
      <c r="K695" s="241"/>
      <c r="L695" s="52"/>
      <c r="M695" s="244"/>
      <c r="N695" s="245"/>
      <c r="O695" s="246"/>
      <c r="P695" s="247"/>
      <c r="Q695" s="248"/>
    </row>
    <row r="696" spans="1:17" ht="19.5" customHeight="1" x14ac:dyDescent="0.25">
      <c r="A696" s="237"/>
      <c r="B696" s="238"/>
      <c r="C696" s="239"/>
      <c r="D696" s="54"/>
      <c r="E696" s="20"/>
      <c r="F696" s="240"/>
      <c r="G696" s="241"/>
      <c r="H696" s="242"/>
      <c r="I696" s="243"/>
      <c r="J696" s="239"/>
      <c r="K696" s="241"/>
      <c r="L696" s="52"/>
      <c r="M696" s="244"/>
      <c r="N696" s="245"/>
      <c r="O696" s="246"/>
      <c r="P696" s="247"/>
      <c r="Q696" s="248"/>
    </row>
    <row r="697" spans="1:17" ht="19.5" customHeight="1" x14ac:dyDescent="0.25">
      <c r="A697" s="237"/>
      <c r="B697" s="238"/>
      <c r="C697" s="239"/>
      <c r="D697" s="54"/>
      <c r="E697" s="20"/>
      <c r="F697" s="240"/>
      <c r="G697" s="241"/>
      <c r="H697" s="242"/>
      <c r="I697" s="243"/>
      <c r="J697" s="239"/>
      <c r="K697" s="241"/>
      <c r="L697" s="52"/>
      <c r="M697" s="244"/>
      <c r="N697" s="245"/>
      <c r="O697" s="246"/>
      <c r="P697" s="247"/>
      <c r="Q697" s="248"/>
    </row>
    <row r="698" spans="1:17" ht="19.5" customHeight="1" x14ac:dyDescent="0.25">
      <c r="A698" s="237"/>
      <c r="B698" s="238"/>
      <c r="C698" s="239"/>
      <c r="D698" s="54"/>
      <c r="E698" s="20"/>
      <c r="F698" s="240"/>
      <c r="G698" s="241"/>
      <c r="H698" s="242"/>
      <c r="I698" s="243"/>
      <c r="J698" s="239"/>
      <c r="K698" s="241"/>
      <c r="L698" s="52"/>
      <c r="M698" s="244"/>
      <c r="N698" s="245"/>
      <c r="O698" s="246"/>
      <c r="P698" s="247"/>
      <c r="Q698" s="248"/>
    </row>
    <row r="699" spans="1:17" ht="19.5" customHeight="1" x14ac:dyDescent="0.25">
      <c r="A699" s="237"/>
      <c r="B699" s="238"/>
      <c r="C699" s="239"/>
      <c r="D699" s="54"/>
      <c r="E699" s="19"/>
      <c r="F699" s="240"/>
      <c r="G699" s="241"/>
      <c r="H699" s="242"/>
      <c r="I699" s="243"/>
      <c r="J699" s="239"/>
      <c r="K699" s="241"/>
      <c r="L699" s="52"/>
      <c r="M699" s="244"/>
      <c r="N699" s="245"/>
      <c r="O699" s="246"/>
      <c r="P699" s="247"/>
      <c r="Q699" s="248"/>
    </row>
    <row r="700" spans="1:17" ht="19.5" customHeight="1" x14ac:dyDescent="0.25">
      <c r="A700" s="164"/>
      <c r="B700" s="165"/>
      <c r="C700" s="166"/>
      <c r="D700" s="167"/>
      <c r="E700" s="168"/>
      <c r="F700" s="169"/>
      <c r="G700" s="170"/>
      <c r="H700" s="171"/>
      <c r="I700" s="172"/>
      <c r="J700" s="166"/>
      <c r="K700" s="170"/>
      <c r="L700" s="173"/>
      <c r="M700" s="174"/>
      <c r="N700" s="175"/>
      <c r="O700" s="176"/>
      <c r="P700" s="177"/>
      <c r="Q700" s="178"/>
    </row>
    <row r="701" spans="1:17" ht="19.5" customHeight="1" x14ac:dyDescent="0.25">
      <c r="A701" s="237"/>
      <c r="B701" s="238"/>
      <c r="C701" s="239"/>
      <c r="D701" s="54"/>
      <c r="E701" s="20"/>
      <c r="F701" s="240"/>
      <c r="G701" s="241"/>
      <c r="H701" s="242"/>
      <c r="I701" s="243"/>
      <c r="J701" s="239"/>
      <c r="K701" s="241"/>
      <c r="L701" s="52"/>
      <c r="M701" s="244"/>
      <c r="N701" s="245"/>
      <c r="O701" s="246"/>
      <c r="P701" s="247"/>
      <c r="Q701" s="248"/>
    </row>
    <row r="702" spans="1:17" ht="19.5" customHeight="1" x14ac:dyDescent="0.25">
      <c r="A702" s="237"/>
      <c r="B702" s="238"/>
      <c r="C702" s="239"/>
      <c r="D702" s="54"/>
      <c r="E702" s="19"/>
      <c r="F702" s="240"/>
      <c r="G702" s="241"/>
      <c r="H702" s="242"/>
      <c r="I702" s="243"/>
      <c r="J702" s="239"/>
      <c r="K702" s="241"/>
      <c r="L702" s="52"/>
      <c r="M702" s="244"/>
      <c r="N702" s="245"/>
      <c r="O702" s="246"/>
      <c r="P702" s="247"/>
      <c r="Q702" s="248"/>
    </row>
    <row r="703" spans="1:17" ht="19.5" customHeight="1" x14ac:dyDescent="0.25">
      <c r="A703" s="237"/>
      <c r="B703" s="238"/>
      <c r="C703" s="239"/>
      <c r="D703" s="54"/>
      <c r="E703" s="20"/>
      <c r="F703" s="240"/>
      <c r="G703" s="241"/>
      <c r="H703" s="242"/>
      <c r="I703" s="243"/>
      <c r="J703" s="239"/>
      <c r="K703" s="241"/>
      <c r="L703" s="52"/>
      <c r="M703" s="244"/>
      <c r="N703" s="245"/>
      <c r="O703" s="246"/>
      <c r="P703" s="247"/>
      <c r="Q703" s="248"/>
    </row>
    <row r="704" spans="1:17" ht="19.5" customHeight="1" x14ac:dyDescent="0.25">
      <c r="A704" s="237"/>
      <c r="B704" s="238"/>
      <c r="C704" s="239"/>
      <c r="D704" s="54"/>
      <c r="E704" s="20"/>
      <c r="F704" s="240"/>
      <c r="G704" s="241"/>
      <c r="H704" s="242"/>
      <c r="I704" s="243"/>
      <c r="J704" s="239"/>
      <c r="K704" s="241"/>
      <c r="L704" s="52"/>
      <c r="M704" s="244"/>
      <c r="N704" s="245"/>
      <c r="O704" s="246"/>
      <c r="P704" s="247"/>
      <c r="Q704" s="248"/>
    </row>
    <row r="705" spans="1:17" ht="19.5" customHeight="1" x14ac:dyDescent="0.25">
      <c r="A705" s="237"/>
      <c r="B705" s="238"/>
      <c r="C705" s="239"/>
      <c r="D705" s="54"/>
      <c r="E705" s="19"/>
      <c r="F705" s="240"/>
      <c r="G705" s="241"/>
      <c r="H705" s="242"/>
      <c r="I705" s="243"/>
      <c r="J705" s="239"/>
      <c r="K705" s="241"/>
      <c r="L705" s="52"/>
      <c r="M705" s="244"/>
      <c r="N705" s="245"/>
      <c r="O705" s="246"/>
      <c r="P705" s="247"/>
      <c r="Q705" s="248"/>
    </row>
    <row r="706" spans="1:17" ht="19.5" customHeight="1" x14ac:dyDescent="0.25">
      <c r="A706" s="164"/>
      <c r="B706" s="165"/>
      <c r="C706" s="166"/>
      <c r="D706" s="167"/>
      <c r="E706" s="180"/>
      <c r="F706" s="169"/>
      <c r="G706" s="170"/>
      <c r="H706" s="171"/>
      <c r="I706" s="172"/>
      <c r="J706" s="166"/>
      <c r="K706" s="170"/>
      <c r="L706" s="173"/>
      <c r="M706" s="174"/>
      <c r="N706" s="175"/>
      <c r="O706" s="176"/>
      <c r="P706" s="177"/>
      <c r="Q706" s="178"/>
    </row>
    <row r="707" spans="1:17" ht="19.5" customHeight="1" x14ac:dyDescent="0.25">
      <c r="A707" s="237"/>
      <c r="B707" s="238"/>
      <c r="C707" s="239"/>
      <c r="D707" s="54"/>
      <c r="E707" s="20"/>
      <c r="F707" s="240"/>
      <c r="G707" s="241"/>
      <c r="H707" s="242"/>
      <c r="I707" s="243"/>
      <c r="J707" s="239"/>
      <c r="K707" s="241"/>
      <c r="L707" s="52"/>
      <c r="M707" s="244"/>
      <c r="N707" s="245"/>
      <c r="O707" s="246"/>
      <c r="P707" s="247"/>
      <c r="Q707" s="248"/>
    </row>
    <row r="708" spans="1:17" ht="19.5" customHeight="1" x14ac:dyDescent="0.25">
      <c r="A708" s="237"/>
      <c r="B708" s="238"/>
      <c r="C708" s="239"/>
      <c r="D708" s="54"/>
      <c r="E708" s="20"/>
      <c r="F708" s="240"/>
      <c r="G708" s="241"/>
      <c r="H708" s="242"/>
      <c r="I708" s="243"/>
      <c r="J708" s="239"/>
      <c r="K708" s="241"/>
      <c r="L708" s="52"/>
      <c r="M708" s="244"/>
      <c r="N708" s="245"/>
      <c r="O708" s="246"/>
      <c r="P708" s="247"/>
      <c r="Q708" s="248"/>
    </row>
    <row r="709" spans="1:17" ht="19.5" customHeight="1" x14ac:dyDescent="0.25">
      <c r="A709" s="237"/>
      <c r="B709" s="238"/>
      <c r="C709" s="239"/>
      <c r="D709" s="54"/>
      <c r="E709" s="20"/>
      <c r="F709" s="240"/>
      <c r="G709" s="241"/>
      <c r="H709" s="242"/>
      <c r="I709" s="243"/>
      <c r="J709" s="239"/>
      <c r="K709" s="241"/>
      <c r="L709" s="52"/>
      <c r="M709" s="244"/>
      <c r="N709" s="245"/>
      <c r="O709" s="246"/>
      <c r="P709" s="247"/>
      <c r="Q709" s="248"/>
    </row>
    <row r="710" spans="1:17" ht="19.5" customHeight="1" x14ac:dyDescent="0.25">
      <c r="A710" s="237"/>
      <c r="B710" s="238"/>
      <c r="C710" s="239"/>
      <c r="D710" s="54"/>
      <c r="E710" s="20"/>
      <c r="F710" s="240"/>
      <c r="G710" s="241"/>
      <c r="H710" s="242"/>
      <c r="I710" s="243"/>
      <c r="J710" s="239"/>
      <c r="K710" s="241"/>
      <c r="L710" s="52"/>
      <c r="M710" s="244"/>
      <c r="N710" s="245"/>
      <c r="O710" s="246"/>
      <c r="P710" s="247"/>
      <c r="Q710" s="248"/>
    </row>
    <row r="711" spans="1:17" ht="19.5" customHeight="1" x14ac:dyDescent="0.25">
      <c r="A711" s="237"/>
      <c r="B711" s="238"/>
      <c r="C711" s="239"/>
      <c r="D711" s="54"/>
      <c r="E711" s="20"/>
      <c r="F711" s="240"/>
      <c r="G711" s="241"/>
      <c r="H711" s="242"/>
      <c r="I711" s="243"/>
      <c r="J711" s="239"/>
      <c r="K711" s="241"/>
      <c r="L711" s="52"/>
      <c r="M711" s="244"/>
      <c r="N711" s="245"/>
      <c r="O711" s="246"/>
      <c r="P711" s="247"/>
      <c r="Q711" s="248"/>
    </row>
    <row r="712" spans="1:17" ht="19.5" customHeight="1" x14ac:dyDescent="0.25">
      <c r="A712" s="237"/>
      <c r="B712" s="238"/>
      <c r="C712" s="239"/>
      <c r="D712" s="54"/>
      <c r="E712" s="20"/>
      <c r="F712" s="240"/>
      <c r="G712" s="241"/>
      <c r="H712" s="242"/>
      <c r="I712" s="243"/>
      <c r="J712" s="239"/>
      <c r="K712" s="241"/>
      <c r="L712" s="52"/>
      <c r="M712" s="244"/>
      <c r="N712" s="245"/>
      <c r="O712" s="246"/>
      <c r="P712" s="247"/>
      <c r="Q712" s="248"/>
    </row>
    <row r="713" spans="1:17" ht="19.5" customHeight="1" x14ac:dyDescent="0.25">
      <c r="A713" s="149"/>
      <c r="B713" s="150"/>
      <c r="C713" s="151"/>
      <c r="D713" s="152"/>
      <c r="E713" s="179"/>
      <c r="F713" s="154"/>
      <c r="G713" s="155"/>
      <c r="H713" s="156"/>
      <c r="I713" s="157"/>
      <c r="J713" s="151"/>
      <c r="K713" s="155"/>
      <c r="L713" s="158"/>
      <c r="M713" s="159"/>
      <c r="N713" s="160"/>
      <c r="O713" s="161"/>
      <c r="P713" s="162"/>
      <c r="Q713" s="163"/>
    </row>
    <row r="714" spans="1:17" ht="19.5" customHeight="1" x14ac:dyDescent="0.25">
      <c r="A714" s="237"/>
      <c r="B714" s="238"/>
      <c r="C714" s="239"/>
      <c r="D714" s="54"/>
      <c r="E714" s="19"/>
      <c r="F714" s="240"/>
      <c r="G714" s="241"/>
      <c r="H714" s="242"/>
      <c r="I714" s="243"/>
      <c r="J714" s="239"/>
      <c r="K714" s="241"/>
      <c r="L714" s="52"/>
      <c r="M714" s="244"/>
      <c r="N714" s="245"/>
      <c r="O714" s="246"/>
      <c r="P714" s="247"/>
      <c r="Q714" s="248"/>
    </row>
    <row r="715" spans="1:17" ht="19.5" customHeight="1" x14ac:dyDescent="0.25">
      <c r="A715" s="237"/>
      <c r="B715" s="238"/>
      <c r="C715" s="239"/>
      <c r="D715" s="54"/>
      <c r="E715" s="19"/>
      <c r="F715" s="240"/>
      <c r="G715" s="241"/>
      <c r="H715" s="242"/>
      <c r="I715" s="243"/>
      <c r="J715" s="239"/>
      <c r="K715" s="241"/>
      <c r="L715" s="52"/>
      <c r="M715" s="244"/>
      <c r="N715" s="245"/>
      <c r="O715" s="246"/>
      <c r="P715" s="247"/>
      <c r="Q715" s="248"/>
    </row>
    <row r="716" spans="1:17" ht="19.5" customHeight="1" x14ac:dyDescent="0.25">
      <c r="A716" s="237"/>
      <c r="B716" s="238"/>
      <c r="C716" s="239"/>
      <c r="D716" s="54"/>
      <c r="E716" s="19"/>
      <c r="F716" s="240"/>
      <c r="G716" s="241"/>
      <c r="H716" s="242"/>
      <c r="I716" s="243"/>
      <c r="J716" s="239"/>
      <c r="K716" s="241"/>
      <c r="L716" s="52"/>
      <c r="M716" s="244"/>
      <c r="N716" s="245"/>
      <c r="O716" s="246"/>
      <c r="P716" s="247"/>
      <c r="Q716" s="248"/>
    </row>
    <row r="717" spans="1:17" ht="19.5" customHeight="1" x14ac:dyDescent="0.25">
      <c r="A717" s="237"/>
      <c r="B717" s="238"/>
      <c r="C717" s="239"/>
      <c r="D717" s="54"/>
      <c r="E717" s="19"/>
      <c r="F717" s="240"/>
      <c r="G717" s="241"/>
      <c r="H717" s="242"/>
      <c r="I717" s="243"/>
      <c r="J717" s="239"/>
      <c r="K717" s="241"/>
      <c r="L717" s="52"/>
      <c r="M717" s="244"/>
      <c r="N717" s="245"/>
      <c r="O717" s="246"/>
      <c r="P717" s="247"/>
      <c r="Q717" s="248"/>
    </row>
    <row r="718" spans="1:17" ht="19.5" customHeight="1" x14ac:dyDescent="0.25">
      <c r="A718" s="237"/>
      <c r="B718" s="238"/>
      <c r="C718" s="239"/>
      <c r="D718" s="54"/>
      <c r="E718" s="20"/>
      <c r="F718" s="240"/>
      <c r="G718" s="241"/>
      <c r="H718" s="242"/>
      <c r="I718" s="243"/>
      <c r="J718" s="239"/>
      <c r="K718" s="241"/>
      <c r="L718" s="52"/>
      <c r="M718" s="244"/>
      <c r="N718" s="245"/>
      <c r="O718" s="246"/>
      <c r="P718" s="247"/>
      <c r="Q718" s="248"/>
    </row>
    <row r="719" spans="1:17" ht="19.5" customHeight="1" x14ac:dyDescent="0.25">
      <c r="A719" s="237"/>
      <c r="B719" s="238"/>
      <c r="C719" s="239"/>
      <c r="D719" s="54"/>
      <c r="E719" s="20"/>
      <c r="F719" s="240"/>
      <c r="G719" s="241"/>
      <c r="H719" s="242"/>
      <c r="I719" s="243"/>
      <c r="J719" s="239"/>
      <c r="K719" s="241"/>
      <c r="L719" s="52"/>
      <c r="M719" s="244"/>
      <c r="N719" s="245"/>
      <c r="O719" s="246"/>
      <c r="P719" s="247"/>
      <c r="Q719" s="248"/>
    </row>
    <row r="720" spans="1:17" ht="19.5" customHeight="1" x14ac:dyDescent="0.25">
      <c r="A720" s="237"/>
      <c r="B720" s="238"/>
      <c r="C720" s="239"/>
      <c r="D720" s="54"/>
      <c r="E720" s="19"/>
      <c r="F720" s="240"/>
      <c r="G720" s="241"/>
      <c r="H720" s="242"/>
      <c r="I720" s="243"/>
      <c r="J720" s="239"/>
      <c r="K720" s="241"/>
      <c r="L720" s="52"/>
      <c r="M720" s="244"/>
      <c r="N720" s="245"/>
      <c r="O720" s="246"/>
      <c r="P720" s="247"/>
      <c r="Q720" s="248"/>
    </row>
    <row r="721" spans="1:17" ht="19.5" customHeight="1" x14ac:dyDescent="0.25">
      <c r="A721" s="237"/>
      <c r="B721" s="238"/>
      <c r="C721" s="239"/>
      <c r="D721" s="54"/>
      <c r="E721" s="20"/>
      <c r="F721" s="240"/>
      <c r="G721" s="241"/>
      <c r="H721" s="242"/>
      <c r="I721" s="243"/>
      <c r="J721" s="239"/>
      <c r="K721" s="241"/>
      <c r="L721" s="52"/>
      <c r="M721" s="244"/>
      <c r="N721" s="245"/>
      <c r="O721" s="246"/>
      <c r="P721" s="247"/>
      <c r="Q721" s="248"/>
    </row>
    <row r="722" spans="1:17" ht="19.5" customHeight="1" x14ac:dyDescent="0.25">
      <c r="A722" s="237"/>
      <c r="B722" s="238"/>
      <c r="C722" s="239"/>
      <c r="D722" s="54"/>
      <c r="E722" s="19"/>
      <c r="F722" s="240"/>
      <c r="G722" s="241"/>
      <c r="H722" s="242"/>
      <c r="I722" s="243"/>
      <c r="J722" s="239"/>
      <c r="K722" s="241"/>
      <c r="L722" s="52"/>
      <c r="M722" s="244"/>
      <c r="N722" s="245"/>
      <c r="O722" s="246"/>
      <c r="P722" s="247"/>
      <c r="Q722" s="248"/>
    </row>
    <row r="723" spans="1:17" ht="19.5" customHeight="1" x14ac:dyDescent="0.25">
      <c r="A723" s="237"/>
      <c r="B723" s="238"/>
      <c r="C723" s="239"/>
      <c r="D723" s="54"/>
      <c r="E723" s="20"/>
      <c r="F723" s="240"/>
      <c r="G723" s="241"/>
      <c r="H723" s="242"/>
      <c r="I723" s="243"/>
      <c r="J723" s="239"/>
      <c r="K723" s="241"/>
      <c r="L723" s="52"/>
      <c r="M723" s="244"/>
      <c r="N723" s="245"/>
      <c r="O723" s="246"/>
      <c r="P723" s="247"/>
      <c r="Q723" s="248"/>
    </row>
    <row r="724" spans="1:17" ht="19.5" customHeight="1" x14ac:dyDescent="0.25">
      <c r="A724" s="237"/>
      <c r="B724" s="238"/>
      <c r="C724" s="239"/>
      <c r="D724" s="54"/>
      <c r="E724" s="20"/>
      <c r="F724" s="240"/>
      <c r="G724" s="241"/>
      <c r="H724" s="242"/>
      <c r="I724" s="243"/>
      <c r="J724" s="239"/>
      <c r="K724" s="241"/>
      <c r="L724" s="52"/>
      <c r="M724" s="244"/>
      <c r="N724" s="245"/>
      <c r="O724" s="246"/>
      <c r="P724" s="247"/>
      <c r="Q724" s="248"/>
    </row>
    <row r="725" spans="1:17" ht="19.5" customHeight="1" x14ac:dyDescent="0.25">
      <c r="A725" s="237"/>
      <c r="B725" s="238"/>
      <c r="C725" s="239"/>
      <c r="D725" s="54"/>
      <c r="E725" s="19"/>
      <c r="F725" s="240"/>
      <c r="G725" s="241"/>
      <c r="H725" s="242"/>
      <c r="I725" s="243"/>
      <c r="J725" s="239"/>
      <c r="K725" s="241"/>
      <c r="L725" s="52"/>
      <c r="M725" s="244"/>
      <c r="N725" s="245"/>
      <c r="O725" s="246"/>
      <c r="P725" s="247"/>
      <c r="Q725" s="248"/>
    </row>
    <row r="726" spans="1:17" ht="19.5" customHeight="1" x14ac:dyDescent="0.25">
      <c r="A726" s="237"/>
      <c r="B726" s="238"/>
      <c r="C726" s="239"/>
      <c r="D726" s="54"/>
      <c r="E726" s="20"/>
      <c r="F726" s="240"/>
      <c r="G726" s="241"/>
      <c r="H726" s="242"/>
      <c r="I726" s="243"/>
      <c r="J726" s="239"/>
      <c r="K726" s="241"/>
      <c r="L726" s="52"/>
      <c r="M726" s="244"/>
      <c r="N726" s="245"/>
      <c r="O726" s="246"/>
      <c r="P726" s="247"/>
      <c r="Q726" s="248"/>
    </row>
    <row r="727" spans="1:17" ht="19.5" customHeight="1" x14ac:dyDescent="0.25">
      <c r="A727" s="237"/>
      <c r="B727" s="238"/>
      <c r="C727" s="239"/>
      <c r="D727" s="54"/>
      <c r="E727" s="20"/>
      <c r="F727" s="240"/>
      <c r="G727" s="241"/>
      <c r="H727" s="242"/>
      <c r="I727" s="243"/>
      <c r="J727" s="239"/>
      <c r="K727" s="241"/>
      <c r="L727" s="52"/>
      <c r="M727" s="244"/>
      <c r="N727" s="245"/>
      <c r="O727" s="246"/>
      <c r="P727" s="247"/>
      <c r="Q727" s="248"/>
    </row>
    <row r="728" spans="1:17" ht="19.5" customHeight="1" x14ac:dyDescent="0.25">
      <c r="A728" s="237"/>
      <c r="B728" s="238"/>
      <c r="C728" s="239"/>
      <c r="D728" s="54"/>
      <c r="E728" s="20"/>
      <c r="F728" s="240"/>
      <c r="G728" s="241"/>
      <c r="H728" s="242"/>
      <c r="I728" s="243"/>
      <c r="J728" s="239"/>
      <c r="K728" s="241"/>
      <c r="L728" s="52"/>
      <c r="M728" s="244"/>
      <c r="N728" s="245"/>
      <c r="O728" s="246"/>
      <c r="P728" s="247"/>
      <c r="Q728" s="248"/>
    </row>
    <row r="729" spans="1:17" ht="19.5" customHeight="1" x14ac:dyDescent="0.25">
      <c r="A729" s="237"/>
      <c r="B729" s="238"/>
      <c r="C729" s="239"/>
      <c r="D729" s="54"/>
      <c r="E729" s="20"/>
      <c r="F729" s="240"/>
      <c r="G729" s="241"/>
      <c r="H729" s="242"/>
      <c r="I729" s="243"/>
      <c r="J729" s="239"/>
      <c r="K729" s="241"/>
      <c r="L729" s="52"/>
      <c r="M729" s="244"/>
      <c r="N729" s="245"/>
      <c r="O729" s="246"/>
      <c r="P729" s="247"/>
      <c r="Q729" s="248"/>
    </row>
    <row r="730" spans="1:17" ht="19.5" customHeight="1" x14ac:dyDescent="0.25">
      <c r="A730" s="237"/>
      <c r="B730" s="238"/>
      <c r="C730" s="239"/>
      <c r="D730" s="54"/>
      <c r="E730" s="20"/>
      <c r="F730" s="240"/>
      <c r="G730" s="241"/>
      <c r="H730" s="242"/>
      <c r="I730" s="243"/>
      <c r="J730" s="239"/>
      <c r="K730" s="241"/>
      <c r="L730" s="52"/>
      <c r="M730" s="244"/>
      <c r="N730" s="245"/>
      <c r="O730" s="246"/>
      <c r="P730" s="247"/>
      <c r="Q730" s="248"/>
    </row>
    <row r="731" spans="1:17" ht="19.5" customHeight="1" x14ac:dyDescent="0.25">
      <c r="A731" s="237"/>
      <c r="B731" s="238"/>
      <c r="C731" s="239"/>
      <c r="D731" s="54"/>
      <c r="E731" s="20"/>
      <c r="F731" s="240"/>
      <c r="G731" s="241"/>
      <c r="H731" s="242"/>
      <c r="I731" s="243"/>
      <c r="J731" s="239"/>
      <c r="K731" s="241"/>
      <c r="L731" s="52"/>
      <c r="M731" s="244"/>
      <c r="N731" s="245"/>
      <c r="O731" s="246"/>
      <c r="P731" s="247"/>
      <c r="Q731" s="248"/>
    </row>
    <row r="732" spans="1:17" ht="19.5" customHeight="1" x14ac:dyDescent="0.25">
      <c r="A732" s="237"/>
      <c r="B732" s="238"/>
      <c r="C732" s="239"/>
      <c r="D732" s="54"/>
      <c r="E732" s="20"/>
      <c r="F732" s="240"/>
      <c r="G732" s="241"/>
      <c r="H732" s="242"/>
      <c r="I732" s="243"/>
      <c r="J732" s="239"/>
      <c r="K732" s="241"/>
      <c r="L732" s="52"/>
      <c r="M732" s="244"/>
      <c r="N732" s="245"/>
      <c r="O732" s="246"/>
      <c r="P732" s="247"/>
      <c r="Q732" s="248"/>
    </row>
    <row r="733" spans="1:17" ht="19.5" customHeight="1" x14ac:dyDescent="0.25">
      <c r="A733" s="237"/>
      <c r="B733" s="238"/>
      <c r="C733" s="239"/>
      <c r="D733" s="54"/>
      <c r="E733" s="20"/>
      <c r="F733" s="240"/>
      <c r="G733" s="241"/>
      <c r="H733" s="242"/>
      <c r="I733" s="243"/>
      <c r="J733" s="239"/>
      <c r="K733" s="241"/>
      <c r="L733" s="52"/>
      <c r="M733" s="244"/>
      <c r="N733" s="245"/>
      <c r="O733" s="246"/>
      <c r="P733" s="247"/>
      <c r="Q733" s="248"/>
    </row>
    <row r="734" spans="1:17" ht="19.5" customHeight="1" x14ac:dyDescent="0.25">
      <c r="A734" s="237"/>
      <c r="B734" s="238"/>
      <c r="C734" s="239"/>
      <c r="D734" s="54"/>
      <c r="E734" s="20"/>
      <c r="F734" s="240"/>
      <c r="G734" s="241"/>
      <c r="H734" s="242"/>
      <c r="I734" s="243"/>
      <c r="J734" s="239"/>
      <c r="K734" s="241"/>
      <c r="L734" s="52"/>
      <c r="M734" s="244"/>
      <c r="N734" s="245"/>
      <c r="O734" s="246"/>
      <c r="P734" s="247"/>
      <c r="Q734" s="248"/>
    </row>
    <row r="735" spans="1:17" ht="19.5" customHeight="1" x14ac:dyDescent="0.25">
      <c r="A735" s="237"/>
      <c r="B735" s="238"/>
      <c r="C735" s="239"/>
      <c r="D735" s="54"/>
      <c r="E735" s="20"/>
      <c r="F735" s="240"/>
      <c r="G735" s="241"/>
      <c r="H735" s="242"/>
      <c r="I735" s="243"/>
      <c r="J735" s="239"/>
      <c r="K735" s="241"/>
      <c r="L735" s="52"/>
      <c r="M735" s="244"/>
      <c r="N735" s="245"/>
      <c r="O735" s="246"/>
      <c r="P735" s="247"/>
      <c r="Q735" s="248"/>
    </row>
    <row r="736" spans="1:17" ht="19.5" customHeight="1" x14ac:dyDescent="0.25">
      <c r="A736" s="237"/>
      <c r="B736" s="238"/>
      <c r="C736" s="239"/>
      <c r="D736" s="54"/>
      <c r="E736" s="20"/>
      <c r="F736" s="240"/>
      <c r="G736" s="241"/>
      <c r="H736" s="242"/>
      <c r="I736" s="243"/>
      <c r="J736" s="239"/>
      <c r="K736" s="241"/>
      <c r="L736" s="52"/>
      <c r="M736" s="244"/>
      <c r="N736" s="245"/>
      <c r="O736" s="246"/>
      <c r="P736" s="247"/>
      <c r="Q736" s="248"/>
    </row>
    <row r="737" spans="1:17" ht="19.5" customHeight="1" x14ac:dyDescent="0.25">
      <c r="A737" s="237"/>
      <c r="B737" s="238"/>
      <c r="C737" s="239"/>
      <c r="D737" s="54"/>
      <c r="E737" s="20"/>
      <c r="F737" s="240"/>
      <c r="G737" s="241"/>
      <c r="H737" s="242"/>
      <c r="I737" s="243"/>
      <c r="J737" s="239"/>
      <c r="K737" s="241"/>
      <c r="L737" s="52"/>
      <c r="M737" s="244"/>
      <c r="N737" s="245"/>
      <c r="O737" s="246"/>
      <c r="P737" s="247"/>
      <c r="Q737" s="248"/>
    </row>
    <row r="738" spans="1:17" ht="19.5" customHeight="1" x14ac:dyDescent="0.25">
      <c r="A738" s="237"/>
      <c r="B738" s="238"/>
      <c r="C738" s="239"/>
      <c r="D738" s="54"/>
      <c r="E738" s="20"/>
      <c r="F738" s="240"/>
      <c r="G738" s="241"/>
      <c r="H738" s="242"/>
      <c r="I738" s="243"/>
      <c r="J738" s="239"/>
      <c r="K738" s="241"/>
      <c r="L738" s="52"/>
      <c r="M738" s="244"/>
      <c r="N738" s="245"/>
      <c r="O738" s="246"/>
      <c r="P738" s="247"/>
      <c r="Q738" s="248"/>
    </row>
    <row r="739" spans="1:17" ht="19.5" customHeight="1" x14ac:dyDescent="0.25">
      <c r="A739" s="237"/>
      <c r="B739" s="238"/>
      <c r="C739" s="239"/>
      <c r="D739" s="54"/>
      <c r="E739" s="20"/>
      <c r="F739" s="240"/>
      <c r="G739" s="241"/>
      <c r="H739" s="242"/>
      <c r="I739" s="243"/>
      <c r="J739" s="239"/>
      <c r="K739" s="241"/>
      <c r="L739" s="52"/>
      <c r="M739" s="244"/>
      <c r="N739" s="245"/>
      <c r="O739" s="246"/>
      <c r="P739" s="247"/>
      <c r="Q739" s="248"/>
    </row>
    <row r="740" spans="1:17" ht="19.5" customHeight="1" x14ac:dyDescent="0.25">
      <c r="A740" s="237"/>
      <c r="B740" s="238"/>
      <c r="C740" s="239"/>
      <c r="D740" s="54"/>
      <c r="E740" s="20"/>
      <c r="F740" s="240"/>
      <c r="G740" s="241"/>
      <c r="H740" s="242"/>
      <c r="I740" s="243"/>
      <c r="J740" s="239"/>
      <c r="K740" s="241"/>
      <c r="L740" s="52"/>
      <c r="M740" s="244"/>
      <c r="N740" s="245"/>
      <c r="O740" s="246"/>
      <c r="P740" s="247"/>
      <c r="Q740" s="248"/>
    </row>
    <row r="741" spans="1:17" ht="19.5" customHeight="1" x14ac:dyDescent="0.25">
      <c r="A741" s="237"/>
      <c r="B741" s="238"/>
      <c r="C741" s="239"/>
      <c r="D741" s="54"/>
      <c r="E741" s="20"/>
      <c r="F741" s="240"/>
      <c r="G741" s="241"/>
      <c r="H741" s="242"/>
      <c r="I741" s="243"/>
      <c r="J741" s="239"/>
      <c r="K741" s="241"/>
      <c r="L741" s="52"/>
      <c r="M741" s="244"/>
      <c r="N741" s="245"/>
      <c r="O741" s="246"/>
      <c r="P741" s="247"/>
      <c r="Q741" s="248"/>
    </row>
    <row r="742" spans="1:17" ht="19.5" customHeight="1" x14ac:dyDescent="0.25">
      <c r="A742" s="237"/>
      <c r="B742" s="238"/>
      <c r="C742" s="239"/>
      <c r="D742" s="54"/>
      <c r="E742" s="20"/>
      <c r="F742" s="240"/>
      <c r="G742" s="241"/>
      <c r="H742" s="242"/>
      <c r="I742" s="243"/>
      <c r="J742" s="239"/>
      <c r="K742" s="241"/>
      <c r="L742" s="52"/>
      <c r="M742" s="244"/>
      <c r="N742" s="245"/>
      <c r="O742" s="246"/>
      <c r="P742" s="247"/>
      <c r="Q742" s="248"/>
    </row>
    <row r="743" spans="1:17" ht="19.5" customHeight="1" x14ac:dyDescent="0.25">
      <c r="A743" s="237"/>
      <c r="B743" s="238"/>
      <c r="C743" s="239"/>
      <c r="D743" s="54"/>
      <c r="E743" s="20"/>
      <c r="F743" s="240"/>
      <c r="G743" s="241"/>
      <c r="H743" s="242"/>
      <c r="I743" s="243"/>
      <c r="J743" s="239"/>
      <c r="K743" s="241"/>
      <c r="L743" s="52"/>
      <c r="M743" s="244"/>
      <c r="N743" s="245"/>
      <c r="O743" s="246"/>
      <c r="P743" s="247"/>
      <c r="Q743" s="248"/>
    </row>
    <row r="744" spans="1:17" ht="19.5" customHeight="1" x14ac:dyDescent="0.25">
      <c r="A744" s="237"/>
      <c r="B744" s="238"/>
      <c r="C744" s="239"/>
      <c r="D744" s="54"/>
      <c r="E744" s="20"/>
      <c r="F744" s="240"/>
      <c r="G744" s="241"/>
      <c r="H744" s="242"/>
      <c r="I744" s="243"/>
      <c r="J744" s="239"/>
      <c r="K744" s="241"/>
      <c r="L744" s="52"/>
      <c r="M744" s="244"/>
      <c r="N744" s="245"/>
      <c r="O744" s="246"/>
      <c r="P744" s="247"/>
      <c r="Q744" s="248"/>
    </row>
    <row r="745" spans="1:17" ht="19.5" customHeight="1" x14ac:dyDescent="0.25">
      <c r="A745" s="237"/>
      <c r="B745" s="238"/>
      <c r="C745" s="239"/>
      <c r="D745" s="54"/>
      <c r="E745" s="20"/>
      <c r="F745" s="240"/>
      <c r="G745" s="241"/>
      <c r="H745" s="242"/>
      <c r="I745" s="243"/>
      <c r="J745" s="239"/>
      <c r="K745" s="241"/>
      <c r="L745" s="52"/>
      <c r="M745" s="244"/>
      <c r="N745" s="245"/>
      <c r="O745" s="246"/>
      <c r="P745" s="247"/>
      <c r="Q745" s="248"/>
    </row>
    <row r="746" spans="1:17" ht="19.5" customHeight="1" x14ac:dyDescent="0.25">
      <c r="A746" s="237"/>
      <c r="B746" s="238"/>
      <c r="C746" s="239"/>
      <c r="D746" s="54"/>
      <c r="E746" s="20"/>
      <c r="F746" s="240"/>
      <c r="G746" s="241"/>
      <c r="H746" s="242"/>
      <c r="I746" s="243"/>
      <c r="J746" s="239"/>
      <c r="K746" s="241"/>
      <c r="L746" s="52"/>
      <c r="M746" s="244"/>
      <c r="N746" s="245"/>
      <c r="O746" s="246"/>
      <c r="P746" s="247"/>
      <c r="Q746" s="248"/>
    </row>
    <row r="747" spans="1:17" ht="19.5" customHeight="1" x14ac:dyDescent="0.25">
      <c r="A747" s="237"/>
      <c r="B747" s="238"/>
      <c r="C747" s="239"/>
      <c r="D747" s="54"/>
      <c r="E747" s="20"/>
      <c r="F747" s="240"/>
      <c r="G747" s="241"/>
      <c r="H747" s="242"/>
      <c r="I747" s="243"/>
      <c r="J747" s="239"/>
      <c r="K747" s="241"/>
      <c r="L747" s="52"/>
      <c r="M747" s="244"/>
      <c r="N747" s="245"/>
      <c r="O747" s="246"/>
      <c r="P747" s="247"/>
      <c r="Q747" s="248"/>
    </row>
    <row r="748" spans="1:17" ht="19.5" customHeight="1" x14ac:dyDescent="0.25">
      <c r="A748" s="237"/>
      <c r="B748" s="238"/>
      <c r="C748" s="239"/>
      <c r="D748" s="54"/>
      <c r="E748" s="20"/>
      <c r="F748" s="240"/>
      <c r="G748" s="241"/>
      <c r="H748" s="242"/>
      <c r="I748" s="243"/>
      <c r="J748" s="239"/>
      <c r="K748" s="241"/>
      <c r="L748" s="52"/>
      <c r="M748" s="244"/>
      <c r="N748" s="245"/>
      <c r="O748" s="246"/>
      <c r="P748" s="247"/>
      <c r="Q748" s="248"/>
    </row>
    <row r="749" spans="1:17" ht="19.5" customHeight="1" x14ac:dyDescent="0.25">
      <c r="A749" s="237"/>
      <c r="B749" s="238"/>
      <c r="C749" s="239"/>
      <c r="D749" s="54"/>
      <c r="E749" s="20"/>
      <c r="F749" s="240"/>
      <c r="G749" s="241"/>
      <c r="H749" s="242"/>
      <c r="I749" s="243"/>
      <c r="J749" s="239"/>
      <c r="K749" s="241"/>
      <c r="L749" s="52"/>
      <c r="M749" s="244"/>
      <c r="N749" s="245"/>
      <c r="O749" s="246"/>
      <c r="P749" s="247"/>
      <c r="Q749" s="248"/>
    </row>
    <row r="750" spans="1:17" ht="19.5" customHeight="1" x14ac:dyDescent="0.25">
      <c r="A750" s="237"/>
      <c r="B750" s="238"/>
      <c r="C750" s="239"/>
      <c r="D750" s="54"/>
      <c r="E750" s="20"/>
      <c r="F750" s="240"/>
      <c r="G750" s="241"/>
      <c r="H750" s="242"/>
      <c r="I750" s="243"/>
      <c r="J750" s="239"/>
      <c r="K750" s="241"/>
      <c r="L750" s="52"/>
      <c r="M750" s="244"/>
      <c r="N750" s="245"/>
      <c r="O750" s="246"/>
      <c r="P750" s="247"/>
      <c r="Q750" s="248"/>
    </row>
    <row r="751" spans="1:17" ht="19.5" customHeight="1" x14ac:dyDescent="0.25">
      <c r="A751" s="237"/>
      <c r="B751" s="238"/>
      <c r="C751" s="239"/>
      <c r="D751" s="54"/>
      <c r="E751" s="20"/>
      <c r="F751" s="240"/>
      <c r="G751" s="241"/>
      <c r="H751" s="242"/>
      <c r="I751" s="243"/>
      <c r="J751" s="239"/>
      <c r="K751" s="241"/>
      <c r="L751" s="52"/>
      <c r="M751" s="244"/>
      <c r="N751" s="245"/>
      <c r="O751" s="246"/>
      <c r="P751" s="247"/>
      <c r="Q751" s="248"/>
    </row>
    <row r="752" spans="1:17" ht="19.5" customHeight="1" x14ac:dyDescent="0.25">
      <c r="A752" s="237"/>
      <c r="B752" s="238"/>
      <c r="C752" s="239"/>
      <c r="D752" s="54"/>
      <c r="E752" s="20"/>
      <c r="F752" s="240"/>
      <c r="G752" s="241"/>
      <c r="H752" s="242"/>
      <c r="I752" s="243"/>
      <c r="J752" s="239"/>
      <c r="K752" s="241"/>
      <c r="L752" s="52"/>
      <c r="M752" s="244"/>
      <c r="N752" s="245"/>
      <c r="O752" s="246"/>
      <c r="P752" s="247"/>
      <c r="Q752" s="248"/>
    </row>
    <row r="753" spans="1:17" ht="19.5" customHeight="1" x14ac:dyDescent="0.25">
      <c r="A753" s="237"/>
      <c r="B753" s="238"/>
      <c r="C753" s="239"/>
      <c r="D753" s="54"/>
      <c r="E753" s="20"/>
      <c r="F753" s="240"/>
      <c r="G753" s="241"/>
      <c r="H753" s="242"/>
      <c r="I753" s="243"/>
      <c r="J753" s="239"/>
      <c r="K753" s="241"/>
      <c r="L753" s="52"/>
      <c r="M753" s="244"/>
      <c r="N753" s="245"/>
      <c r="O753" s="246"/>
      <c r="P753" s="247"/>
      <c r="Q753" s="248"/>
    </row>
    <row r="754" spans="1:17" ht="19.5" customHeight="1" x14ac:dyDescent="0.25">
      <c r="A754" s="237"/>
      <c r="B754" s="238"/>
      <c r="C754" s="239"/>
      <c r="D754" s="54"/>
      <c r="E754" s="20"/>
      <c r="F754" s="240"/>
      <c r="G754" s="241"/>
      <c r="H754" s="242"/>
      <c r="I754" s="243"/>
      <c r="J754" s="239"/>
      <c r="K754" s="241"/>
      <c r="L754" s="52"/>
      <c r="M754" s="244"/>
      <c r="N754" s="245"/>
      <c r="O754" s="246"/>
      <c r="P754" s="247"/>
      <c r="Q754" s="248"/>
    </row>
    <row r="755" spans="1:17" ht="19.5" customHeight="1" x14ac:dyDescent="0.25">
      <c r="A755" s="237"/>
      <c r="B755" s="238"/>
      <c r="C755" s="239"/>
      <c r="D755" s="54"/>
      <c r="E755" s="20"/>
      <c r="F755" s="240"/>
      <c r="G755" s="241"/>
      <c r="H755" s="242"/>
      <c r="I755" s="243"/>
      <c r="J755" s="239"/>
      <c r="K755" s="241"/>
      <c r="L755" s="52"/>
      <c r="M755" s="244"/>
      <c r="N755" s="245"/>
      <c r="O755" s="246"/>
      <c r="P755" s="247"/>
      <c r="Q755" s="248"/>
    </row>
    <row r="756" spans="1:17" ht="19.5" customHeight="1" x14ac:dyDescent="0.25">
      <c r="A756" s="237"/>
      <c r="B756" s="238"/>
      <c r="C756" s="239"/>
      <c r="D756" s="54"/>
      <c r="E756" s="20"/>
      <c r="F756" s="240"/>
      <c r="G756" s="241"/>
      <c r="H756" s="242"/>
      <c r="I756" s="243"/>
      <c r="J756" s="239"/>
      <c r="K756" s="241"/>
      <c r="L756" s="52"/>
      <c r="M756" s="244"/>
      <c r="N756" s="245"/>
      <c r="O756" s="246"/>
      <c r="P756" s="247"/>
      <c r="Q756" s="248"/>
    </row>
    <row r="757" spans="1:17" ht="19.5" customHeight="1" x14ac:dyDescent="0.25">
      <c r="A757" s="237"/>
      <c r="B757" s="238"/>
      <c r="C757" s="239"/>
      <c r="D757" s="54"/>
      <c r="E757" s="20"/>
      <c r="F757" s="240"/>
      <c r="G757" s="241"/>
      <c r="H757" s="242"/>
      <c r="I757" s="243"/>
      <c r="J757" s="239"/>
      <c r="K757" s="241"/>
      <c r="L757" s="52"/>
      <c r="M757" s="244"/>
      <c r="N757" s="245"/>
      <c r="O757" s="246"/>
      <c r="P757" s="247"/>
      <c r="Q757" s="248"/>
    </row>
    <row r="758" spans="1:17" ht="19.5" customHeight="1" x14ac:dyDescent="0.25">
      <c r="A758" s="237"/>
      <c r="B758" s="238"/>
      <c r="C758" s="239"/>
      <c r="D758" s="54"/>
      <c r="E758" s="20"/>
      <c r="F758" s="240"/>
      <c r="G758" s="241"/>
      <c r="H758" s="242"/>
      <c r="I758" s="243"/>
      <c r="J758" s="239"/>
      <c r="K758" s="241"/>
      <c r="L758" s="52"/>
      <c r="M758" s="244"/>
      <c r="N758" s="245"/>
      <c r="O758" s="246"/>
      <c r="P758" s="247"/>
      <c r="Q758" s="248"/>
    </row>
    <row r="759" spans="1:17" ht="19.5" customHeight="1" x14ac:dyDescent="0.25">
      <c r="A759" s="237"/>
      <c r="B759" s="238"/>
      <c r="C759" s="239"/>
      <c r="D759" s="54"/>
      <c r="E759" s="20"/>
      <c r="F759" s="240"/>
      <c r="G759" s="241"/>
      <c r="H759" s="242"/>
      <c r="I759" s="243"/>
      <c r="J759" s="239"/>
      <c r="K759" s="241"/>
      <c r="L759" s="52"/>
      <c r="M759" s="244"/>
      <c r="N759" s="245"/>
      <c r="O759" s="246"/>
      <c r="P759" s="247"/>
      <c r="Q759" s="248"/>
    </row>
    <row r="760" spans="1:17" ht="19.5" customHeight="1" x14ac:dyDescent="0.25">
      <c r="A760" s="237"/>
      <c r="B760" s="238"/>
      <c r="C760" s="239"/>
      <c r="D760" s="54"/>
      <c r="E760" s="20"/>
      <c r="F760" s="240"/>
      <c r="G760" s="241"/>
      <c r="H760" s="242"/>
      <c r="I760" s="243"/>
      <c r="J760" s="239"/>
      <c r="K760" s="241"/>
      <c r="L760" s="52"/>
      <c r="M760" s="244"/>
      <c r="N760" s="245"/>
      <c r="O760" s="246"/>
      <c r="P760" s="247"/>
      <c r="Q760" s="248"/>
    </row>
    <row r="761" spans="1:17" ht="19.5" customHeight="1" x14ac:dyDescent="0.25">
      <c r="A761" s="237"/>
      <c r="B761" s="238"/>
      <c r="C761" s="239"/>
      <c r="D761" s="54"/>
      <c r="E761" s="20"/>
      <c r="F761" s="240"/>
      <c r="G761" s="241"/>
      <c r="H761" s="242"/>
      <c r="I761" s="243"/>
      <c r="J761" s="239"/>
      <c r="K761" s="241"/>
      <c r="L761" s="52"/>
      <c r="M761" s="244"/>
      <c r="N761" s="245"/>
      <c r="O761" s="246"/>
      <c r="P761" s="247"/>
      <c r="Q761" s="248"/>
    </row>
    <row r="762" spans="1:17" ht="19.5" customHeight="1" x14ac:dyDescent="0.25">
      <c r="A762" s="237"/>
      <c r="B762" s="238"/>
      <c r="C762" s="239"/>
      <c r="D762" s="54"/>
      <c r="E762" s="20"/>
      <c r="F762" s="240"/>
      <c r="G762" s="241"/>
      <c r="H762" s="242"/>
      <c r="I762" s="243"/>
      <c r="J762" s="239"/>
      <c r="K762" s="241"/>
      <c r="L762" s="52"/>
      <c r="M762" s="244"/>
      <c r="N762" s="245"/>
      <c r="O762" s="246"/>
      <c r="P762" s="247"/>
      <c r="Q762" s="248"/>
    </row>
    <row r="763" spans="1:17" ht="19.5" customHeight="1" x14ac:dyDescent="0.25">
      <c r="A763" s="237"/>
      <c r="B763" s="238"/>
      <c r="C763" s="239"/>
      <c r="D763" s="54"/>
      <c r="E763" s="20"/>
      <c r="F763" s="240"/>
      <c r="G763" s="241"/>
      <c r="H763" s="242"/>
      <c r="I763" s="243"/>
      <c r="J763" s="239"/>
      <c r="K763" s="241"/>
      <c r="L763" s="52"/>
      <c r="M763" s="244"/>
      <c r="N763" s="245"/>
      <c r="O763" s="246"/>
      <c r="P763" s="247"/>
      <c r="Q763" s="248"/>
    </row>
    <row r="764" spans="1:17" ht="19.5" customHeight="1" x14ac:dyDescent="0.25">
      <c r="A764" s="237"/>
      <c r="B764" s="238"/>
      <c r="C764" s="239"/>
      <c r="D764" s="54"/>
      <c r="E764" s="20"/>
      <c r="F764" s="240"/>
      <c r="G764" s="241"/>
      <c r="H764" s="242"/>
      <c r="I764" s="243"/>
      <c r="J764" s="239"/>
      <c r="K764" s="241"/>
      <c r="L764" s="52"/>
      <c r="M764" s="244"/>
      <c r="N764" s="245"/>
      <c r="O764" s="246"/>
      <c r="P764" s="247"/>
      <c r="Q764" s="248"/>
    </row>
    <row r="765" spans="1:17" ht="19.5" customHeight="1" x14ac:dyDescent="0.25">
      <c r="A765" s="237"/>
      <c r="B765" s="238"/>
      <c r="C765" s="239"/>
      <c r="D765" s="54"/>
      <c r="E765" s="20"/>
      <c r="F765" s="240"/>
      <c r="G765" s="241"/>
      <c r="H765" s="242"/>
      <c r="I765" s="243"/>
      <c r="J765" s="239"/>
      <c r="K765" s="241"/>
      <c r="L765" s="52"/>
      <c r="M765" s="244"/>
      <c r="N765" s="245"/>
      <c r="O765" s="246"/>
      <c r="P765" s="247"/>
      <c r="Q765" s="248"/>
    </row>
    <row r="766" spans="1:17" ht="19.5" customHeight="1" x14ac:dyDescent="0.25">
      <c r="A766" s="237"/>
      <c r="B766" s="238"/>
      <c r="C766" s="239"/>
      <c r="D766" s="54"/>
      <c r="E766" s="20"/>
      <c r="F766" s="240"/>
      <c r="G766" s="241"/>
      <c r="H766" s="242"/>
      <c r="I766" s="243"/>
      <c r="J766" s="239"/>
      <c r="K766" s="241"/>
      <c r="L766" s="52"/>
      <c r="M766" s="244"/>
      <c r="N766" s="245"/>
      <c r="O766" s="246"/>
      <c r="P766" s="247"/>
      <c r="Q766" s="248"/>
    </row>
    <row r="767" spans="1:17" ht="19.5" customHeight="1" x14ac:dyDescent="0.25">
      <c r="A767" s="237"/>
      <c r="B767" s="238"/>
      <c r="C767" s="239"/>
      <c r="D767" s="54"/>
      <c r="E767" s="20"/>
      <c r="F767" s="240"/>
      <c r="G767" s="241"/>
      <c r="H767" s="242"/>
      <c r="I767" s="243"/>
      <c r="J767" s="239"/>
      <c r="K767" s="241"/>
      <c r="L767" s="52"/>
      <c r="M767" s="244"/>
      <c r="N767" s="245"/>
      <c r="O767" s="246"/>
      <c r="P767" s="247"/>
      <c r="Q767" s="248"/>
    </row>
    <row r="768" spans="1:17" ht="19.5" customHeight="1" x14ac:dyDescent="0.25">
      <c r="A768" s="237"/>
      <c r="B768" s="238"/>
      <c r="C768" s="239"/>
      <c r="D768" s="54"/>
      <c r="E768" s="20"/>
      <c r="F768" s="240"/>
      <c r="G768" s="241"/>
      <c r="H768" s="242"/>
      <c r="I768" s="243"/>
      <c r="J768" s="239"/>
      <c r="K768" s="241"/>
      <c r="L768" s="52"/>
      <c r="M768" s="244"/>
      <c r="N768" s="245"/>
      <c r="O768" s="246"/>
      <c r="P768" s="247"/>
      <c r="Q768" s="248"/>
    </row>
    <row r="769" spans="1:17" ht="19.5" customHeight="1" x14ac:dyDescent="0.25">
      <c r="A769" s="237"/>
      <c r="B769" s="238"/>
      <c r="C769" s="237"/>
      <c r="D769" s="54"/>
      <c r="E769" s="20"/>
      <c r="F769" s="240"/>
      <c r="G769" s="241"/>
      <c r="H769" s="242"/>
      <c r="I769" s="243"/>
      <c r="J769" s="239"/>
      <c r="K769" s="241"/>
      <c r="L769" s="52"/>
      <c r="M769" s="244"/>
      <c r="N769" s="245"/>
      <c r="O769" s="246"/>
      <c r="P769" s="247"/>
      <c r="Q769" s="248"/>
    </row>
    <row r="770" spans="1:17" ht="19.5" customHeight="1" x14ac:dyDescent="0.25">
      <c r="A770" s="237"/>
      <c r="B770" s="238"/>
      <c r="C770" s="239"/>
      <c r="D770" s="54"/>
      <c r="E770" s="19"/>
      <c r="F770" s="240"/>
      <c r="G770" s="241"/>
      <c r="H770" s="242"/>
      <c r="I770" s="243"/>
      <c r="J770" s="239"/>
      <c r="K770" s="241"/>
      <c r="L770" s="52"/>
      <c r="M770" s="244"/>
      <c r="N770" s="245"/>
      <c r="O770" s="246"/>
      <c r="P770" s="247"/>
      <c r="Q770" s="248"/>
    </row>
    <row r="771" spans="1:17" ht="19.5" customHeight="1" x14ac:dyDescent="0.25">
      <c r="A771" s="237"/>
      <c r="B771" s="238"/>
      <c r="C771" s="237"/>
      <c r="D771" s="54"/>
      <c r="E771" s="20"/>
      <c r="F771" s="240"/>
      <c r="G771" s="241"/>
      <c r="H771" s="242"/>
      <c r="I771" s="243"/>
      <c r="J771" s="239"/>
      <c r="K771" s="241"/>
      <c r="L771" s="52"/>
      <c r="M771" s="244"/>
      <c r="N771" s="245"/>
      <c r="O771" s="246"/>
      <c r="P771" s="247"/>
      <c r="Q771" s="248"/>
    </row>
    <row r="772" spans="1:17" ht="19.5" customHeight="1" x14ac:dyDescent="0.25">
      <c r="A772" s="237"/>
      <c r="B772" s="238"/>
      <c r="C772" s="239"/>
      <c r="D772" s="54"/>
      <c r="E772" s="20"/>
      <c r="F772" s="240"/>
      <c r="G772" s="241"/>
      <c r="H772" s="242"/>
      <c r="I772" s="243"/>
      <c r="J772" s="239"/>
      <c r="K772" s="241"/>
      <c r="L772" s="52"/>
      <c r="M772" s="244"/>
      <c r="N772" s="245"/>
      <c r="O772" s="246"/>
      <c r="P772" s="247"/>
      <c r="Q772" s="248"/>
    </row>
    <row r="773" spans="1:17" ht="19.5" customHeight="1" x14ac:dyDescent="0.25">
      <c r="A773" s="237"/>
      <c r="B773" s="238"/>
      <c r="C773" s="239"/>
      <c r="D773" s="54"/>
      <c r="E773" s="20"/>
      <c r="F773" s="240"/>
      <c r="G773" s="241"/>
      <c r="H773" s="242"/>
      <c r="I773" s="243"/>
      <c r="J773" s="239"/>
      <c r="K773" s="241"/>
      <c r="L773" s="52"/>
      <c r="M773" s="244"/>
      <c r="N773" s="245"/>
      <c r="O773" s="246"/>
      <c r="P773" s="247"/>
      <c r="Q773" s="248"/>
    </row>
    <row r="774" spans="1:17" ht="19.5" customHeight="1" x14ac:dyDescent="0.25">
      <c r="A774" s="237"/>
      <c r="B774" s="238"/>
      <c r="C774" s="239"/>
      <c r="D774" s="54"/>
      <c r="E774" s="20"/>
      <c r="F774" s="240"/>
      <c r="G774" s="241"/>
      <c r="H774" s="242"/>
      <c r="I774" s="243"/>
      <c r="J774" s="239"/>
      <c r="K774" s="241"/>
      <c r="L774" s="52"/>
      <c r="M774" s="244"/>
      <c r="N774" s="245"/>
      <c r="O774" s="246"/>
      <c r="P774" s="247"/>
      <c r="Q774" s="248"/>
    </row>
    <row r="775" spans="1:17" ht="19.5" customHeight="1" x14ac:dyDescent="0.25">
      <c r="A775" s="237"/>
      <c r="B775" s="238"/>
      <c r="C775" s="239"/>
      <c r="D775" s="54"/>
      <c r="E775" s="20"/>
      <c r="F775" s="240"/>
      <c r="G775" s="241"/>
      <c r="H775" s="242"/>
      <c r="I775" s="243"/>
      <c r="J775" s="239"/>
      <c r="K775" s="241"/>
      <c r="L775" s="52"/>
      <c r="M775" s="244"/>
      <c r="N775" s="245"/>
      <c r="O775" s="246"/>
      <c r="P775" s="247"/>
      <c r="Q775" s="248"/>
    </row>
    <row r="776" spans="1:17" ht="19.5" customHeight="1" x14ac:dyDescent="0.25">
      <c r="A776" s="237"/>
      <c r="B776" s="238"/>
      <c r="C776" s="239"/>
      <c r="D776" s="54"/>
      <c r="E776" s="20"/>
      <c r="F776" s="240"/>
      <c r="G776" s="241"/>
      <c r="H776" s="242"/>
      <c r="I776" s="243"/>
      <c r="J776" s="239"/>
      <c r="K776" s="241"/>
      <c r="L776" s="52"/>
      <c r="M776" s="244"/>
      <c r="N776" s="245"/>
      <c r="O776" s="246"/>
      <c r="P776" s="247"/>
      <c r="Q776" s="248"/>
    </row>
    <row r="777" spans="1:17" ht="19.5" customHeight="1" x14ac:dyDescent="0.25">
      <c r="A777" s="237"/>
      <c r="B777" s="238"/>
      <c r="C777" s="239"/>
      <c r="D777" s="54"/>
      <c r="E777" s="20"/>
      <c r="F777" s="240"/>
      <c r="G777" s="241"/>
      <c r="H777" s="242"/>
      <c r="I777" s="243"/>
      <c r="J777" s="239"/>
      <c r="K777" s="241"/>
      <c r="L777" s="52"/>
      <c r="M777" s="244"/>
      <c r="N777" s="245"/>
      <c r="O777" s="246"/>
      <c r="P777" s="247"/>
      <c r="Q777" s="248"/>
    </row>
    <row r="778" spans="1:17" ht="19.5" customHeight="1" x14ac:dyDescent="0.25">
      <c r="A778" s="237"/>
      <c r="B778" s="238"/>
      <c r="C778" s="239"/>
      <c r="D778" s="54"/>
      <c r="E778" s="19"/>
      <c r="F778" s="240"/>
      <c r="G778" s="241"/>
      <c r="H778" s="242"/>
      <c r="I778" s="243"/>
      <c r="J778" s="239"/>
      <c r="K778" s="241"/>
      <c r="L778" s="52"/>
      <c r="M778" s="244"/>
      <c r="N778" s="245"/>
      <c r="O778" s="246"/>
      <c r="P778" s="247"/>
      <c r="Q778" s="248"/>
    </row>
    <row r="779" spans="1:17" ht="19.5" customHeight="1" x14ac:dyDescent="0.25">
      <c r="A779" s="237"/>
      <c r="B779" s="238"/>
      <c r="C779" s="239"/>
      <c r="D779" s="54"/>
      <c r="E779" s="20"/>
      <c r="F779" s="240"/>
      <c r="G779" s="241"/>
      <c r="H779" s="242"/>
      <c r="I779" s="243"/>
      <c r="J779" s="239"/>
      <c r="K779" s="241"/>
      <c r="L779" s="52"/>
      <c r="M779" s="244"/>
      <c r="N779" s="245"/>
      <c r="O779" s="246"/>
      <c r="P779" s="247"/>
      <c r="Q779" s="248"/>
    </row>
    <row r="780" spans="1:17" ht="19.5" customHeight="1" x14ac:dyDescent="0.25">
      <c r="A780" s="237"/>
      <c r="B780" s="238"/>
      <c r="C780" s="239"/>
      <c r="D780" s="54"/>
      <c r="E780" s="20"/>
      <c r="F780" s="240"/>
      <c r="G780" s="241"/>
      <c r="H780" s="242"/>
      <c r="I780" s="243"/>
      <c r="J780" s="239"/>
      <c r="K780" s="241"/>
      <c r="L780" s="52"/>
      <c r="M780" s="244"/>
      <c r="N780" s="245"/>
      <c r="O780" s="246"/>
      <c r="P780" s="247"/>
      <c r="Q780" s="248"/>
    </row>
    <row r="781" spans="1:17" ht="19.5" customHeight="1" x14ac:dyDescent="0.25">
      <c r="A781" s="237"/>
      <c r="B781" s="238"/>
      <c r="C781" s="239"/>
      <c r="D781" s="54"/>
      <c r="E781" s="20"/>
      <c r="F781" s="240"/>
      <c r="G781" s="241"/>
      <c r="H781" s="242"/>
      <c r="I781" s="243"/>
      <c r="J781" s="239"/>
      <c r="K781" s="241"/>
      <c r="L781" s="52"/>
      <c r="M781" s="244"/>
      <c r="N781" s="245"/>
      <c r="O781" s="246"/>
      <c r="P781" s="247"/>
      <c r="Q781" s="248"/>
    </row>
    <row r="782" spans="1:17" ht="19.5" customHeight="1" x14ac:dyDescent="0.25">
      <c r="A782" s="237"/>
      <c r="B782" s="238"/>
      <c r="C782" s="239"/>
      <c r="D782" s="54"/>
      <c r="E782" s="20"/>
      <c r="F782" s="240"/>
      <c r="G782" s="241"/>
      <c r="H782" s="242"/>
      <c r="I782" s="243"/>
      <c r="J782" s="239"/>
      <c r="K782" s="241"/>
      <c r="L782" s="52"/>
      <c r="M782" s="244"/>
      <c r="N782" s="245"/>
      <c r="O782" s="246"/>
      <c r="P782" s="247"/>
      <c r="Q782" s="248"/>
    </row>
    <row r="783" spans="1:17" ht="19.5" customHeight="1" x14ac:dyDescent="0.25">
      <c r="A783" s="237"/>
      <c r="B783" s="238"/>
      <c r="C783" s="239"/>
      <c r="D783" s="54"/>
      <c r="E783" s="20"/>
      <c r="F783" s="240"/>
      <c r="G783" s="241"/>
      <c r="H783" s="242"/>
      <c r="I783" s="243"/>
      <c r="J783" s="239"/>
      <c r="K783" s="241"/>
      <c r="L783" s="52"/>
      <c r="M783" s="244"/>
      <c r="N783" s="245"/>
      <c r="O783" s="246"/>
      <c r="P783" s="247"/>
      <c r="Q783" s="248"/>
    </row>
    <row r="784" spans="1:17" ht="19.5" customHeight="1" x14ac:dyDescent="0.25">
      <c r="A784" s="237"/>
      <c r="B784" s="238"/>
      <c r="C784" s="239"/>
      <c r="D784" s="54"/>
      <c r="E784" s="20"/>
      <c r="F784" s="240"/>
      <c r="G784" s="241"/>
      <c r="H784" s="242"/>
      <c r="I784" s="243"/>
      <c r="J784" s="239"/>
      <c r="K784" s="241"/>
      <c r="L784" s="52"/>
      <c r="M784" s="244"/>
      <c r="N784" s="245"/>
      <c r="O784" s="246"/>
      <c r="P784" s="247"/>
      <c r="Q784" s="248"/>
    </row>
    <row r="785" spans="1:17" ht="19.5" customHeight="1" x14ac:dyDescent="0.25">
      <c r="A785" s="237"/>
      <c r="B785" s="238"/>
      <c r="C785" s="239"/>
      <c r="D785" s="54"/>
      <c r="E785" s="20"/>
      <c r="F785" s="240"/>
      <c r="G785" s="241"/>
      <c r="H785" s="242"/>
      <c r="I785" s="243"/>
      <c r="J785" s="239"/>
      <c r="K785" s="241"/>
      <c r="L785" s="52"/>
      <c r="M785" s="244"/>
      <c r="N785" s="245"/>
      <c r="O785" s="246"/>
      <c r="P785" s="247"/>
      <c r="Q785" s="248"/>
    </row>
    <row r="786" spans="1:17" ht="19.5" customHeight="1" x14ac:dyDescent="0.25">
      <c r="A786" s="149"/>
      <c r="B786" s="150"/>
      <c r="C786" s="151"/>
      <c r="D786" s="152"/>
      <c r="E786" s="153"/>
      <c r="F786" s="154"/>
      <c r="G786" s="155"/>
      <c r="H786" s="156"/>
      <c r="I786" s="157"/>
      <c r="J786" s="151"/>
      <c r="K786" s="155"/>
      <c r="L786" s="158"/>
      <c r="M786" s="159"/>
      <c r="N786" s="160"/>
      <c r="O786" s="161"/>
      <c r="P786" s="162"/>
      <c r="Q786" s="163"/>
    </row>
    <row r="787" spans="1:17" ht="19.5" customHeight="1" x14ac:dyDescent="0.25">
      <c r="A787" s="237"/>
      <c r="B787" s="238"/>
      <c r="C787" s="239"/>
      <c r="D787" s="54"/>
      <c r="E787" s="19"/>
      <c r="F787" s="240"/>
      <c r="G787" s="241"/>
      <c r="H787" s="242"/>
      <c r="I787" s="243"/>
      <c r="J787" s="239"/>
      <c r="K787" s="241"/>
      <c r="L787" s="52"/>
      <c r="M787" s="244"/>
      <c r="N787" s="245"/>
      <c r="O787" s="246"/>
      <c r="P787" s="247"/>
      <c r="Q787" s="248"/>
    </row>
    <row r="788" spans="1:17" ht="19.5" customHeight="1" x14ac:dyDescent="0.25">
      <c r="A788" s="237"/>
      <c r="B788" s="238"/>
      <c r="C788" s="239"/>
      <c r="D788" s="54"/>
      <c r="E788" s="20"/>
      <c r="F788" s="240"/>
      <c r="G788" s="241"/>
      <c r="H788" s="242"/>
      <c r="I788" s="243"/>
      <c r="J788" s="239"/>
      <c r="K788" s="241"/>
      <c r="L788" s="52"/>
      <c r="M788" s="244"/>
      <c r="N788" s="245"/>
      <c r="O788" s="246"/>
      <c r="P788" s="247"/>
      <c r="Q788" s="248"/>
    </row>
    <row r="789" spans="1:17" ht="19.5" customHeight="1" x14ac:dyDescent="0.25">
      <c r="A789" s="164"/>
      <c r="B789" s="165"/>
      <c r="C789" s="166"/>
      <c r="D789" s="167"/>
      <c r="E789" s="168"/>
      <c r="F789" s="169"/>
      <c r="G789" s="170"/>
      <c r="H789" s="171"/>
      <c r="I789" s="172"/>
      <c r="J789" s="166"/>
      <c r="K789" s="170"/>
      <c r="L789" s="173"/>
      <c r="M789" s="174"/>
      <c r="N789" s="175"/>
      <c r="O789" s="176"/>
      <c r="P789" s="177"/>
      <c r="Q789" s="178"/>
    </row>
    <row r="790" spans="1:17" ht="19.5" customHeight="1" x14ac:dyDescent="0.25">
      <c r="A790" s="237"/>
      <c r="B790" s="238"/>
      <c r="C790" s="239"/>
      <c r="D790" s="54"/>
      <c r="E790" s="19"/>
      <c r="F790" s="240"/>
      <c r="G790" s="241"/>
      <c r="H790" s="242"/>
      <c r="I790" s="243"/>
      <c r="J790" s="239"/>
      <c r="K790" s="241"/>
      <c r="L790" s="52"/>
      <c r="M790" s="244"/>
      <c r="N790" s="245"/>
      <c r="O790" s="246"/>
      <c r="P790" s="247"/>
      <c r="Q790" s="248"/>
    </row>
    <row r="791" spans="1:17" ht="19.5" customHeight="1" x14ac:dyDescent="0.25">
      <c r="A791" s="237"/>
      <c r="B791" s="238"/>
      <c r="C791" s="239"/>
      <c r="D791" s="54"/>
      <c r="E791" s="20"/>
      <c r="F791" s="240"/>
      <c r="G791" s="241"/>
      <c r="H791" s="242"/>
      <c r="I791" s="243"/>
      <c r="J791" s="239"/>
      <c r="K791" s="241"/>
      <c r="L791" s="52"/>
      <c r="M791" s="244"/>
      <c r="N791" s="245"/>
      <c r="O791" s="246"/>
      <c r="P791" s="247"/>
      <c r="Q791" s="248"/>
    </row>
    <row r="792" spans="1:17" ht="19.5" customHeight="1" x14ac:dyDescent="0.25">
      <c r="A792" s="237"/>
      <c r="B792" s="238"/>
      <c r="C792" s="239"/>
      <c r="D792" s="54"/>
      <c r="E792" s="20"/>
      <c r="F792" s="240"/>
      <c r="G792" s="241"/>
      <c r="H792" s="242"/>
      <c r="I792" s="243"/>
      <c r="J792" s="239"/>
      <c r="K792" s="241"/>
      <c r="L792" s="52"/>
      <c r="M792" s="244"/>
      <c r="N792" s="245"/>
      <c r="O792" s="246"/>
      <c r="P792" s="247"/>
      <c r="Q792" s="248"/>
    </row>
    <row r="793" spans="1:17" ht="19.5" customHeight="1" x14ac:dyDescent="0.25">
      <c r="A793" s="237"/>
      <c r="B793" s="238"/>
      <c r="C793" s="239"/>
      <c r="D793" s="54"/>
      <c r="E793" s="20"/>
      <c r="F793" s="240"/>
      <c r="G793" s="241"/>
      <c r="H793" s="242"/>
      <c r="I793" s="243"/>
      <c r="J793" s="239"/>
      <c r="K793" s="241"/>
      <c r="L793" s="52"/>
      <c r="M793" s="244"/>
      <c r="N793" s="245"/>
      <c r="O793" s="246"/>
      <c r="P793" s="247"/>
      <c r="Q793" s="248"/>
    </row>
    <row r="794" spans="1:17" ht="19.5" customHeight="1" x14ac:dyDescent="0.25">
      <c r="A794" s="237"/>
      <c r="B794" s="238"/>
      <c r="C794" s="239"/>
      <c r="D794" s="54"/>
      <c r="E794" s="20"/>
      <c r="F794" s="240"/>
      <c r="G794" s="241"/>
      <c r="H794" s="242"/>
      <c r="I794" s="243"/>
      <c r="J794" s="239"/>
      <c r="K794" s="241"/>
      <c r="L794" s="52"/>
      <c r="M794" s="244"/>
      <c r="N794" s="245"/>
      <c r="O794" s="246"/>
      <c r="P794" s="247"/>
      <c r="Q794" s="248"/>
    </row>
    <row r="795" spans="1:17" ht="19.5" customHeight="1" x14ac:dyDescent="0.25">
      <c r="A795" s="237"/>
      <c r="B795" s="238"/>
      <c r="C795" s="239"/>
      <c r="D795" s="54"/>
      <c r="E795" s="20"/>
      <c r="F795" s="240"/>
      <c r="G795" s="241"/>
      <c r="H795" s="242"/>
      <c r="I795" s="243"/>
      <c r="J795" s="239"/>
      <c r="K795" s="241"/>
      <c r="L795" s="52"/>
      <c r="M795" s="244"/>
      <c r="N795" s="245"/>
      <c r="O795" s="246"/>
      <c r="P795" s="247"/>
      <c r="Q795" s="248"/>
    </row>
    <row r="796" spans="1:17" ht="19.5" customHeight="1" x14ac:dyDescent="0.25">
      <c r="A796" s="237"/>
      <c r="B796" s="238"/>
      <c r="C796" s="239"/>
      <c r="D796" s="256"/>
      <c r="E796" s="19"/>
      <c r="F796" s="240"/>
      <c r="G796" s="241"/>
      <c r="H796" s="242"/>
      <c r="I796" s="243"/>
      <c r="J796" s="239"/>
      <c r="K796" s="241"/>
      <c r="L796" s="52"/>
      <c r="M796" s="244"/>
      <c r="N796" s="245"/>
      <c r="O796" s="246"/>
      <c r="P796" s="247"/>
      <c r="Q796" s="248"/>
    </row>
    <row r="797" spans="1:17" ht="19.5" customHeight="1" x14ac:dyDescent="0.25">
      <c r="A797" s="149"/>
      <c r="B797" s="150"/>
      <c r="C797" s="151"/>
      <c r="D797" s="152"/>
      <c r="E797" s="179"/>
      <c r="F797" s="154"/>
      <c r="G797" s="155"/>
      <c r="H797" s="156"/>
      <c r="I797" s="157"/>
      <c r="J797" s="151"/>
      <c r="K797" s="155"/>
      <c r="L797" s="158"/>
      <c r="M797" s="159"/>
      <c r="N797" s="160"/>
      <c r="O797" s="161"/>
      <c r="P797" s="162"/>
      <c r="Q797" s="163"/>
    </row>
    <row r="798" spans="1:17" ht="19.5" customHeight="1" x14ac:dyDescent="0.25">
      <c r="A798" s="237"/>
      <c r="B798" s="238"/>
      <c r="C798" s="239"/>
      <c r="D798" s="54"/>
      <c r="E798" s="20"/>
      <c r="F798" s="240"/>
      <c r="G798" s="241"/>
      <c r="H798" s="242"/>
      <c r="I798" s="243"/>
      <c r="J798" s="239"/>
      <c r="K798" s="241"/>
      <c r="L798" s="52"/>
      <c r="M798" s="244"/>
      <c r="N798" s="245"/>
      <c r="O798" s="246"/>
      <c r="P798" s="247"/>
      <c r="Q798" s="248"/>
    </row>
    <row r="799" spans="1:17" ht="19.5" customHeight="1" x14ac:dyDescent="0.25">
      <c r="A799" s="237"/>
      <c r="B799" s="238"/>
      <c r="C799" s="239"/>
      <c r="D799" s="54"/>
      <c r="E799" s="20"/>
      <c r="F799" s="240"/>
      <c r="G799" s="241"/>
      <c r="H799" s="242"/>
      <c r="I799" s="243"/>
      <c r="J799" s="239"/>
      <c r="K799" s="241"/>
      <c r="L799" s="52"/>
      <c r="M799" s="244"/>
      <c r="N799" s="245"/>
      <c r="O799" s="246"/>
      <c r="P799" s="247"/>
      <c r="Q799" s="248"/>
    </row>
    <row r="800" spans="1:17" ht="19.5" customHeight="1" x14ac:dyDescent="0.25">
      <c r="A800" s="237"/>
      <c r="B800" s="238"/>
      <c r="C800" s="239"/>
      <c r="D800" s="54"/>
      <c r="E800" s="20"/>
      <c r="F800" s="240"/>
      <c r="G800" s="241"/>
      <c r="H800" s="242"/>
      <c r="I800" s="243"/>
      <c r="J800" s="239"/>
      <c r="K800" s="241"/>
      <c r="L800" s="52"/>
      <c r="M800" s="244"/>
      <c r="N800" s="245"/>
      <c r="O800" s="246"/>
      <c r="P800" s="247"/>
      <c r="Q800" s="248"/>
    </row>
    <row r="801" spans="1:17" ht="19.5" customHeight="1" x14ac:dyDescent="0.25">
      <c r="A801" s="149"/>
      <c r="B801" s="150"/>
      <c r="C801" s="151"/>
      <c r="D801" s="152"/>
      <c r="E801" s="153"/>
      <c r="F801" s="154"/>
      <c r="G801" s="155"/>
      <c r="H801" s="156"/>
      <c r="I801" s="157"/>
      <c r="J801" s="151"/>
      <c r="K801" s="155"/>
      <c r="L801" s="158"/>
      <c r="M801" s="159"/>
      <c r="N801" s="160"/>
      <c r="O801" s="161"/>
      <c r="P801" s="162"/>
      <c r="Q801" s="163"/>
    </row>
    <row r="802" spans="1:17" ht="19.5" customHeight="1" x14ac:dyDescent="0.25">
      <c r="A802" s="237"/>
      <c r="B802" s="238"/>
      <c r="C802" s="239"/>
      <c r="D802" s="54"/>
      <c r="E802" s="20"/>
      <c r="F802" s="240"/>
      <c r="G802" s="241"/>
      <c r="H802" s="242"/>
      <c r="I802" s="243"/>
      <c r="J802" s="239"/>
      <c r="K802" s="241"/>
      <c r="L802" s="52"/>
      <c r="M802" s="244"/>
      <c r="N802" s="245"/>
      <c r="O802" s="246"/>
      <c r="P802" s="247"/>
      <c r="Q802" s="248"/>
    </row>
    <row r="803" spans="1:17" ht="19.5" customHeight="1" x14ac:dyDescent="0.25">
      <c r="A803" s="237"/>
      <c r="B803" s="238"/>
      <c r="C803" s="239"/>
      <c r="D803" s="54"/>
      <c r="E803" s="20"/>
      <c r="F803" s="240"/>
      <c r="G803" s="241"/>
      <c r="H803" s="242"/>
      <c r="I803" s="243"/>
      <c r="J803" s="239"/>
      <c r="K803" s="241"/>
      <c r="L803" s="52"/>
      <c r="M803" s="244"/>
      <c r="N803" s="245"/>
      <c r="O803" s="246"/>
      <c r="P803" s="247"/>
      <c r="Q803" s="248"/>
    </row>
    <row r="804" spans="1:17" ht="19.5" customHeight="1" x14ac:dyDescent="0.25">
      <c r="A804" s="237"/>
      <c r="B804" s="238"/>
      <c r="C804" s="239"/>
      <c r="D804" s="54"/>
      <c r="E804" s="20"/>
      <c r="F804" s="240"/>
      <c r="G804" s="241"/>
      <c r="H804" s="242"/>
      <c r="I804" s="243"/>
      <c r="J804" s="239"/>
      <c r="K804" s="241"/>
      <c r="L804" s="52"/>
      <c r="M804" s="244"/>
      <c r="N804" s="245"/>
      <c r="O804" s="246"/>
      <c r="P804" s="247"/>
      <c r="Q804" s="248"/>
    </row>
    <row r="805" spans="1:17" ht="19.5" customHeight="1" x14ac:dyDescent="0.25">
      <c r="A805" s="237"/>
      <c r="B805" s="238"/>
      <c r="C805" s="239"/>
      <c r="D805" s="54"/>
      <c r="E805" s="20"/>
      <c r="F805" s="240"/>
      <c r="G805" s="241"/>
      <c r="H805" s="242"/>
      <c r="I805" s="243"/>
      <c r="J805" s="239"/>
      <c r="K805" s="241"/>
      <c r="L805" s="52"/>
      <c r="M805" s="244"/>
      <c r="N805" s="245"/>
      <c r="O805" s="246"/>
      <c r="P805" s="247"/>
      <c r="Q805" s="248"/>
    </row>
    <row r="806" spans="1:17" ht="19.5" customHeight="1" x14ac:dyDescent="0.25">
      <c r="A806" s="237"/>
      <c r="B806" s="238"/>
      <c r="C806" s="239"/>
      <c r="D806" s="54"/>
      <c r="E806" s="20"/>
      <c r="F806" s="240"/>
      <c r="G806" s="241"/>
      <c r="H806" s="242"/>
      <c r="I806" s="243"/>
      <c r="J806" s="239"/>
      <c r="K806" s="241"/>
      <c r="L806" s="52"/>
      <c r="M806" s="244"/>
      <c r="N806" s="245"/>
      <c r="O806" s="246"/>
      <c r="P806" s="247"/>
      <c r="Q806" s="248"/>
    </row>
    <row r="807" spans="1:17" ht="19.5" customHeight="1" x14ac:dyDescent="0.25">
      <c r="A807" s="237"/>
      <c r="B807" s="238"/>
      <c r="C807" s="239"/>
      <c r="D807" s="54"/>
      <c r="E807" s="20"/>
      <c r="F807" s="240"/>
      <c r="G807" s="241"/>
      <c r="H807" s="242"/>
      <c r="I807" s="243"/>
      <c r="J807" s="239"/>
      <c r="K807" s="241"/>
      <c r="L807" s="52"/>
      <c r="M807" s="244"/>
      <c r="N807" s="245"/>
      <c r="O807" s="246"/>
      <c r="P807" s="247"/>
      <c r="Q807" s="248"/>
    </row>
    <row r="808" spans="1:17" ht="19.5" customHeight="1" x14ac:dyDescent="0.25">
      <c r="A808" s="237"/>
      <c r="B808" s="238"/>
      <c r="C808" s="237"/>
      <c r="D808" s="54"/>
      <c r="E808" s="20"/>
      <c r="F808" s="240"/>
      <c r="G808" s="241"/>
      <c r="H808" s="242"/>
      <c r="I808" s="243"/>
      <c r="J808" s="239"/>
      <c r="K808" s="241"/>
      <c r="L808" s="52"/>
      <c r="M808" s="244"/>
      <c r="N808" s="245"/>
      <c r="O808" s="246"/>
      <c r="P808" s="247"/>
      <c r="Q808" s="248"/>
    </row>
    <row r="809" spans="1:17" ht="19.5" customHeight="1" x14ac:dyDescent="0.25">
      <c r="A809" s="237"/>
      <c r="B809" s="238"/>
      <c r="C809" s="237"/>
      <c r="D809" s="54"/>
      <c r="E809" s="20"/>
      <c r="F809" s="240"/>
      <c r="G809" s="241"/>
      <c r="H809" s="242"/>
      <c r="I809" s="243"/>
      <c r="J809" s="239"/>
      <c r="K809" s="241"/>
      <c r="L809" s="52"/>
      <c r="M809" s="244"/>
      <c r="N809" s="245"/>
      <c r="O809" s="246"/>
      <c r="P809" s="247"/>
      <c r="Q809" s="248"/>
    </row>
    <row r="810" spans="1:17" ht="19.5" customHeight="1" x14ac:dyDescent="0.25">
      <c r="A810" s="237"/>
      <c r="B810" s="238"/>
      <c r="C810" s="237"/>
      <c r="D810" s="54"/>
      <c r="E810" s="20"/>
      <c r="F810" s="240"/>
      <c r="G810" s="241"/>
      <c r="H810" s="242"/>
      <c r="I810" s="243"/>
      <c r="J810" s="239"/>
      <c r="K810" s="241"/>
      <c r="L810" s="52"/>
      <c r="M810" s="244"/>
      <c r="N810" s="245"/>
      <c r="O810" s="246"/>
      <c r="P810" s="247"/>
      <c r="Q810" s="248"/>
    </row>
    <row r="811" spans="1:17" ht="19.5" customHeight="1" x14ac:dyDescent="0.25">
      <c r="A811" s="237"/>
      <c r="B811" s="238"/>
      <c r="C811" s="239"/>
      <c r="D811" s="54"/>
      <c r="E811" s="20"/>
      <c r="F811" s="240"/>
      <c r="G811" s="241"/>
      <c r="H811" s="242"/>
      <c r="I811" s="243"/>
      <c r="J811" s="239"/>
      <c r="K811" s="241"/>
      <c r="L811" s="52"/>
      <c r="M811" s="244"/>
      <c r="N811" s="245"/>
      <c r="O811" s="246"/>
      <c r="P811" s="247"/>
      <c r="Q811" s="248"/>
    </row>
    <row r="812" spans="1:17" ht="19.5" customHeight="1" x14ac:dyDescent="0.25">
      <c r="A812" s="237"/>
      <c r="B812" s="238"/>
      <c r="C812" s="239"/>
      <c r="D812" s="54"/>
      <c r="E812" s="20"/>
      <c r="F812" s="240"/>
      <c r="G812" s="241"/>
      <c r="H812" s="242"/>
      <c r="I812" s="243"/>
      <c r="J812" s="239"/>
      <c r="K812" s="241"/>
      <c r="L812" s="52"/>
      <c r="M812" s="244"/>
      <c r="N812" s="245"/>
      <c r="O812" s="246"/>
      <c r="P812" s="247"/>
      <c r="Q812" s="248"/>
    </row>
    <row r="813" spans="1:17" ht="19.5" customHeight="1" x14ac:dyDescent="0.25">
      <c r="A813" s="237"/>
      <c r="B813" s="238"/>
      <c r="C813" s="239"/>
      <c r="D813" s="54"/>
      <c r="E813" s="20"/>
      <c r="F813" s="240"/>
      <c r="G813" s="241"/>
      <c r="H813" s="242"/>
      <c r="I813" s="243"/>
      <c r="J813" s="239"/>
      <c r="K813" s="241"/>
      <c r="L813" s="52"/>
      <c r="M813" s="244"/>
      <c r="N813" s="245"/>
      <c r="O813" s="246"/>
      <c r="P813" s="247"/>
      <c r="Q813" s="248"/>
    </row>
    <row r="814" spans="1:17" ht="19.5" customHeight="1" x14ac:dyDescent="0.25">
      <c r="A814" s="237"/>
      <c r="B814" s="238"/>
      <c r="C814" s="239"/>
      <c r="D814" s="54"/>
      <c r="E814" s="19"/>
      <c r="F814" s="240"/>
      <c r="G814" s="241"/>
      <c r="H814" s="242"/>
      <c r="I814" s="243"/>
      <c r="J814" s="239"/>
      <c r="K814" s="241"/>
      <c r="L814" s="52"/>
      <c r="M814" s="244"/>
      <c r="N814" s="245"/>
      <c r="O814" s="246"/>
      <c r="P814" s="247"/>
      <c r="Q814" s="248"/>
    </row>
    <row r="815" spans="1:17" ht="19.5" customHeight="1" x14ac:dyDescent="0.25">
      <c r="A815" s="237"/>
      <c r="B815" s="238"/>
      <c r="C815" s="239"/>
      <c r="D815" s="54"/>
      <c r="E815" s="20"/>
      <c r="F815" s="240"/>
      <c r="G815" s="241"/>
      <c r="H815" s="242"/>
      <c r="I815" s="243"/>
      <c r="J815" s="239"/>
      <c r="K815" s="241"/>
      <c r="L815" s="52"/>
      <c r="M815" s="244"/>
      <c r="N815" s="245"/>
      <c r="O815" s="246"/>
      <c r="P815" s="247"/>
      <c r="Q815" s="248"/>
    </row>
    <row r="816" spans="1:17" ht="19.5" customHeight="1" x14ac:dyDescent="0.25">
      <c r="A816" s="237"/>
      <c r="B816" s="238"/>
      <c r="C816" s="239"/>
      <c r="D816" s="54"/>
      <c r="E816" s="20"/>
      <c r="F816" s="240"/>
      <c r="G816" s="241"/>
      <c r="H816" s="242"/>
      <c r="I816" s="243"/>
      <c r="J816" s="239"/>
      <c r="K816" s="241"/>
      <c r="L816" s="52"/>
      <c r="M816" s="244"/>
      <c r="N816" s="245"/>
      <c r="O816" s="246"/>
      <c r="P816" s="247"/>
      <c r="Q816" s="248"/>
    </row>
    <row r="817" spans="1:17" ht="19.5" customHeight="1" x14ac:dyDescent="0.25">
      <c r="A817" s="237"/>
      <c r="B817" s="238"/>
      <c r="C817" s="239"/>
      <c r="D817" s="54"/>
      <c r="E817" s="20"/>
      <c r="F817" s="240"/>
      <c r="G817" s="241"/>
      <c r="H817" s="242"/>
      <c r="I817" s="243"/>
      <c r="J817" s="239"/>
      <c r="K817" s="241"/>
      <c r="L817" s="52"/>
      <c r="M817" s="244"/>
      <c r="N817" s="245"/>
      <c r="O817" s="246"/>
      <c r="P817" s="247"/>
      <c r="Q817" s="248"/>
    </row>
    <row r="818" spans="1:17" ht="19.5" customHeight="1" x14ac:dyDescent="0.25">
      <c r="A818" s="149"/>
      <c r="B818" s="150"/>
      <c r="C818" s="151"/>
      <c r="D818" s="152"/>
      <c r="E818" s="179"/>
      <c r="F818" s="154"/>
      <c r="G818" s="155"/>
      <c r="H818" s="156"/>
      <c r="I818" s="157"/>
      <c r="J818" s="151"/>
      <c r="K818" s="155"/>
      <c r="L818" s="158"/>
      <c r="M818" s="159"/>
      <c r="N818" s="160"/>
      <c r="O818" s="161"/>
      <c r="P818" s="162"/>
      <c r="Q818" s="163"/>
    </row>
    <row r="819" spans="1:17" ht="19.5" customHeight="1" x14ac:dyDescent="0.25">
      <c r="A819" s="149"/>
      <c r="B819" s="150"/>
      <c r="C819" s="149"/>
      <c r="D819" s="152"/>
      <c r="E819" s="179"/>
      <c r="F819" s="154"/>
      <c r="G819" s="155"/>
      <c r="H819" s="156"/>
      <c r="I819" s="157"/>
      <c r="J819" s="151"/>
      <c r="K819" s="155"/>
      <c r="L819" s="158"/>
      <c r="M819" s="159"/>
      <c r="N819" s="160"/>
      <c r="O819" s="161"/>
      <c r="P819" s="162"/>
      <c r="Q819" s="163"/>
    </row>
    <row r="820" spans="1:17" ht="19.5" customHeight="1" x14ac:dyDescent="0.25">
      <c r="A820" s="149"/>
      <c r="B820" s="150"/>
      <c r="C820" s="149"/>
      <c r="D820" s="152"/>
      <c r="E820" s="179"/>
      <c r="F820" s="154"/>
      <c r="G820" s="155"/>
      <c r="H820" s="156"/>
      <c r="I820" s="157"/>
      <c r="J820" s="151"/>
      <c r="K820" s="155"/>
      <c r="L820" s="158"/>
      <c r="M820" s="159"/>
      <c r="N820" s="160"/>
      <c r="O820" s="161"/>
      <c r="P820" s="162"/>
      <c r="Q820" s="163"/>
    </row>
    <row r="821" spans="1:17" ht="19.5" customHeight="1" x14ac:dyDescent="0.25">
      <c r="A821" s="237"/>
      <c r="B821" s="238"/>
      <c r="C821" s="239"/>
      <c r="D821" s="54"/>
      <c r="E821" s="20"/>
      <c r="F821" s="240"/>
      <c r="G821" s="241"/>
      <c r="H821" s="242"/>
      <c r="I821" s="243"/>
      <c r="J821" s="239"/>
      <c r="K821" s="241"/>
      <c r="L821" s="52"/>
      <c r="M821" s="244"/>
      <c r="N821" s="245"/>
      <c r="O821" s="246"/>
      <c r="P821" s="247"/>
      <c r="Q821" s="248"/>
    </row>
    <row r="822" spans="1:17" ht="19.5" customHeight="1" x14ac:dyDescent="0.25">
      <c r="A822" s="237"/>
      <c r="B822" s="238"/>
      <c r="C822" s="239"/>
      <c r="D822" s="54"/>
      <c r="E822" s="20"/>
      <c r="F822" s="240"/>
      <c r="G822" s="241"/>
      <c r="H822" s="242"/>
      <c r="I822" s="243"/>
      <c r="J822" s="239"/>
      <c r="K822" s="241"/>
      <c r="L822" s="52"/>
      <c r="M822" s="244"/>
      <c r="N822" s="245"/>
      <c r="O822" s="246"/>
      <c r="P822" s="247"/>
      <c r="Q822" s="248"/>
    </row>
    <row r="823" spans="1:17" ht="19.5" customHeight="1" x14ac:dyDescent="0.25">
      <c r="A823" s="237"/>
      <c r="B823" s="238"/>
      <c r="C823" s="239"/>
      <c r="D823" s="54"/>
      <c r="E823" s="20"/>
      <c r="F823" s="240"/>
      <c r="G823" s="241"/>
      <c r="H823" s="242"/>
      <c r="I823" s="243"/>
      <c r="J823" s="239"/>
      <c r="K823" s="241"/>
      <c r="L823" s="52"/>
      <c r="M823" s="244"/>
      <c r="N823" s="245"/>
      <c r="O823" s="246"/>
      <c r="P823" s="247"/>
      <c r="Q823" s="248"/>
    </row>
    <row r="824" spans="1:17" ht="19.5" customHeight="1" x14ac:dyDescent="0.25">
      <c r="A824" s="237"/>
      <c r="B824" s="238"/>
      <c r="C824" s="239"/>
      <c r="D824" s="54"/>
      <c r="E824" s="20"/>
      <c r="F824" s="240"/>
      <c r="G824" s="241"/>
      <c r="H824" s="242"/>
      <c r="I824" s="243"/>
      <c r="J824" s="239"/>
      <c r="K824" s="241"/>
      <c r="L824" s="52"/>
      <c r="M824" s="244"/>
      <c r="N824" s="245"/>
      <c r="O824" s="246"/>
      <c r="P824" s="247"/>
      <c r="Q824" s="248"/>
    </row>
    <row r="825" spans="1:17" ht="19.5" customHeight="1" x14ac:dyDescent="0.25">
      <c r="A825" s="237"/>
      <c r="B825" s="238"/>
      <c r="C825" s="239"/>
      <c r="D825" s="54"/>
      <c r="E825" s="20"/>
      <c r="F825" s="240"/>
      <c r="G825" s="241"/>
      <c r="H825" s="242"/>
      <c r="I825" s="243"/>
      <c r="J825" s="239"/>
      <c r="K825" s="241"/>
      <c r="L825" s="52"/>
      <c r="M825" s="244"/>
      <c r="N825" s="245"/>
      <c r="O825" s="246"/>
      <c r="P825" s="247"/>
      <c r="Q825" s="248"/>
    </row>
    <row r="826" spans="1:17" ht="19.5" customHeight="1" x14ac:dyDescent="0.25">
      <c r="A826" s="237"/>
      <c r="B826" s="238"/>
      <c r="C826" s="239"/>
      <c r="D826" s="54"/>
      <c r="E826" s="20"/>
      <c r="F826" s="240"/>
      <c r="G826" s="241"/>
      <c r="H826" s="242"/>
      <c r="I826" s="243"/>
      <c r="J826" s="239"/>
      <c r="K826" s="241"/>
      <c r="L826" s="52"/>
      <c r="M826" s="244"/>
      <c r="N826" s="245"/>
      <c r="O826" s="246"/>
      <c r="P826" s="247"/>
      <c r="Q826" s="248"/>
    </row>
    <row r="827" spans="1:17" ht="19.5" customHeight="1" x14ac:dyDescent="0.25">
      <c r="A827" s="237"/>
      <c r="B827" s="238"/>
      <c r="C827" s="239"/>
      <c r="D827" s="54"/>
      <c r="E827" s="20"/>
      <c r="F827" s="240"/>
      <c r="G827" s="241"/>
      <c r="H827" s="242"/>
      <c r="I827" s="243"/>
      <c r="J827" s="239"/>
      <c r="K827" s="241"/>
      <c r="L827" s="52"/>
      <c r="M827" s="244"/>
      <c r="N827" s="245"/>
      <c r="O827" s="246"/>
      <c r="P827" s="247"/>
      <c r="Q827" s="248"/>
    </row>
    <row r="828" spans="1:17" ht="19.5" customHeight="1" x14ac:dyDescent="0.25">
      <c r="A828" s="237"/>
      <c r="B828" s="238"/>
      <c r="C828" s="239"/>
      <c r="D828" s="54"/>
      <c r="E828" s="20"/>
      <c r="F828" s="240"/>
      <c r="G828" s="241"/>
      <c r="H828" s="242"/>
      <c r="I828" s="243"/>
      <c r="J828" s="239"/>
      <c r="K828" s="241"/>
      <c r="L828" s="52"/>
      <c r="M828" s="244"/>
      <c r="N828" s="245"/>
      <c r="O828" s="246"/>
      <c r="P828" s="247"/>
      <c r="Q828" s="248"/>
    </row>
    <row r="829" spans="1:17" ht="19.5" customHeight="1" x14ac:dyDescent="0.25">
      <c r="A829" s="237"/>
      <c r="B829" s="238"/>
      <c r="C829" s="239"/>
      <c r="D829" s="54"/>
      <c r="E829" s="20"/>
      <c r="F829" s="240"/>
      <c r="G829" s="241"/>
      <c r="H829" s="242"/>
      <c r="I829" s="243"/>
      <c r="J829" s="239"/>
      <c r="K829" s="241"/>
      <c r="L829" s="52"/>
      <c r="M829" s="244"/>
      <c r="N829" s="245"/>
      <c r="O829" s="246"/>
      <c r="P829" s="247"/>
      <c r="Q829" s="248"/>
    </row>
    <row r="830" spans="1:17" ht="19.5" customHeight="1" x14ac:dyDescent="0.25">
      <c r="A830" s="237"/>
      <c r="B830" s="238"/>
      <c r="C830" s="239"/>
      <c r="D830" s="54"/>
      <c r="E830" s="19"/>
      <c r="F830" s="240"/>
      <c r="G830" s="241"/>
      <c r="H830" s="242"/>
      <c r="I830" s="243"/>
      <c r="J830" s="239"/>
      <c r="K830" s="241"/>
      <c r="L830" s="52"/>
      <c r="M830" s="244"/>
      <c r="N830" s="245"/>
      <c r="O830" s="246"/>
      <c r="P830" s="247"/>
      <c r="Q830" s="248"/>
    </row>
    <row r="831" spans="1:17" ht="19.5" customHeight="1" x14ac:dyDescent="0.25">
      <c r="A831" s="237"/>
      <c r="B831" s="238"/>
      <c r="C831" s="239"/>
      <c r="D831" s="54"/>
      <c r="E831" s="19"/>
      <c r="F831" s="240"/>
      <c r="G831" s="241"/>
      <c r="H831" s="242"/>
      <c r="I831" s="243"/>
      <c r="J831" s="239"/>
      <c r="K831" s="241"/>
      <c r="L831" s="52"/>
      <c r="M831" s="244"/>
      <c r="N831" s="245"/>
      <c r="O831" s="246"/>
      <c r="P831" s="247"/>
      <c r="Q831" s="248"/>
    </row>
    <row r="832" spans="1:17" ht="19.5" customHeight="1" x14ac:dyDescent="0.25">
      <c r="A832" s="237"/>
      <c r="B832" s="238"/>
      <c r="C832" s="239"/>
      <c r="D832" s="54"/>
      <c r="E832" s="20"/>
      <c r="F832" s="240"/>
      <c r="G832" s="241"/>
      <c r="H832" s="242"/>
      <c r="I832" s="243"/>
      <c r="J832" s="239"/>
      <c r="K832" s="241"/>
      <c r="L832" s="52"/>
      <c r="M832" s="244"/>
      <c r="N832" s="245"/>
      <c r="O832" s="246"/>
      <c r="P832" s="247"/>
      <c r="Q832" s="248"/>
    </row>
    <row r="833" spans="1:17" ht="19.5" customHeight="1" x14ac:dyDescent="0.25">
      <c r="A833" s="237"/>
      <c r="B833" s="238"/>
      <c r="C833" s="239"/>
      <c r="D833" s="54"/>
      <c r="E833" s="20"/>
      <c r="F833" s="240"/>
      <c r="G833" s="241"/>
      <c r="H833" s="242"/>
      <c r="I833" s="243"/>
      <c r="J833" s="239"/>
      <c r="K833" s="241"/>
      <c r="L833" s="52"/>
      <c r="M833" s="244"/>
      <c r="N833" s="245"/>
      <c r="O833" s="246"/>
      <c r="P833" s="247"/>
      <c r="Q833" s="248"/>
    </row>
    <row r="834" spans="1:17" ht="19.5" customHeight="1" x14ac:dyDescent="0.25">
      <c r="A834" s="237"/>
      <c r="B834" s="238"/>
      <c r="C834" s="239"/>
      <c r="D834" s="54"/>
      <c r="E834" s="20"/>
      <c r="F834" s="240"/>
      <c r="G834" s="241"/>
      <c r="H834" s="242"/>
      <c r="I834" s="243"/>
      <c r="J834" s="239"/>
      <c r="K834" s="241"/>
      <c r="L834" s="52"/>
      <c r="M834" s="244"/>
      <c r="N834" s="245"/>
      <c r="O834" s="246"/>
      <c r="P834" s="247"/>
      <c r="Q834" s="248"/>
    </row>
    <row r="835" spans="1:17" ht="19.5" customHeight="1" x14ac:dyDescent="0.25">
      <c r="A835" s="237"/>
      <c r="B835" s="238"/>
      <c r="C835" s="239"/>
      <c r="D835" s="54"/>
      <c r="E835" s="20"/>
      <c r="F835" s="240"/>
      <c r="G835" s="241"/>
      <c r="H835" s="242"/>
      <c r="I835" s="243"/>
      <c r="J835" s="239"/>
      <c r="K835" s="241"/>
      <c r="L835" s="52"/>
      <c r="M835" s="244"/>
      <c r="N835" s="245"/>
      <c r="O835" s="246"/>
      <c r="P835" s="247"/>
      <c r="Q835" s="248"/>
    </row>
    <row r="836" spans="1:17" ht="19.5" customHeight="1" x14ac:dyDescent="0.25">
      <c r="A836" s="237"/>
      <c r="B836" s="238"/>
      <c r="C836" s="239"/>
      <c r="D836" s="54"/>
      <c r="E836" s="19"/>
      <c r="F836" s="240"/>
      <c r="G836" s="241"/>
      <c r="H836" s="242"/>
      <c r="I836" s="243"/>
      <c r="J836" s="239"/>
      <c r="K836" s="241"/>
      <c r="L836" s="52"/>
      <c r="M836" s="244"/>
      <c r="N836" s="245"/>
      <c r="O836" s="246"/>
      <c r="P836" s="247"/>
      <c r="Q836" s="248"/>
    </row>
    <row r="837" spans="1:17" ht="19.5" customHeight="1" x14ac:dyDescent="0.25">
      <c r="A837" s="237"/>
      <c r="B837" s="238"/>
      <c r="C837" s="239"/>
      <c r="D837" s="54"/>
      <c r="E837" s="19"/>
      <c r="F837" s="240"/>
      <c r="G837" s="241"/>
      <c r="H837" s="242"/>
      <c r="I837" s="243"/>
      <c r="J837" s="239"/>
      <c r="K837" s="241"/>
      <c r="L837" s="52"/>
      <c r="M837" s="244"/>
      <c r="N837" s="245"/>
      <c r="O837" s="246"/>
      <c r="P837" s="247"/>
      <c r="Q837" s="248"/>
    </row>
    <row r="838" spans="1:17" ht="19.5" customHeight="1" x14ac:dyDescent="0.25">
      <c r="A838" s="237"/>
      <c r="B838" s="238"/>
      <c r="C838" s="239"/>
      <c r="D838" s="54"/>
      <c r="E838" s="20"/>
      <c r="F838" s="240"/>
      <c r="G838" s="241"/>
      <c r="H838" s="242"/>
      <c r="I838" s="243"/>
      <c r="J838" s="239"/>
      <c r="K838" s="241"/>
      <c r="L838" s="52"/>
      <c r="M838" s="244"/>
      <c r="N838" s="245"/>
      <c r="O838" s="246"/>
      <c r="P838" s="247"/>
      <c r="Q838" s="248"/>
    </row>
    <row r="839" spans="1:17" ht="19.5" customHeight="1" x14ac:dyDescent="0.25">
      <c r="A839" s="237"/>
      <c r="B839" s="238"/>
      <c r="C839" s="239"/>
      <c r="D839" s="54"/>
      <c r="E839" s="20"/>
      <c r="F839" s="240"/>
      <c r="G839" s="241"/>
      <c r="H839" s="242"/>
      <c r="I839" s="243"/>
      <c r="J839" s="239"/>
      <c r="K839" s="241"/>
      <c r="L839" s="52"/>
      <c r="M839" s="244"/>
      <c r="N839" s="245"/>
      <c r="O839" s="246"/>
      <c r="P839" s="247"/>
      <c r="Q839" s="248"/>
    </row>
    <row r="840" spans="1:17" ht="19.5" customHeight="1" x14ac:dyDescent="0.25">
      <c r="A840" s="237"/>
      <c r="B840" s="238"/>
      <c r="C840" s="239"/>
      <c r="D840" s="54"/>
      <c r="E840" s="20"/>
      <c r="F840" s="240"/>
      <c r="G840" s="241"/>
      <c r="H840" s="242"/>
      <c r="I840" s="243"/>
      <c r="J840" s="239"/>
      <c r="K840" s="241"/>
      <c r="L840" s="52"/>
      <c r="M840" s="244"/>
      <c r="N840" s="245"/>
      <c r="O840" s="246"/>
      <c r="P840" s="247"/>
      <c r="Q840" s="248"/>
    </row>
    <row r="841" spans="1:17" ht="19.5" customHeight="1" x14ac:dyDescent="0.25">
      <c r="A841" s="237"/>
      <c r="B841" s="238"/>
      <c r="C841" s="239"/>
      <c r="D841" s="54"/>
      <c r="E841" s="20"/>
      <c r="F841" s="240"/>
      <c r="G841" s="241"/>
      <c r="H841" s="242"/>
      <c r="I841" s="243"/>
      <c r="J841" s="239"/>
      <c r="K841" s="241"/>
      <c r="L841" s="52"/>
      <c r="M841" s="244"/>
      <c r="N841" s="245"/>
      <c r="O841" s="246"/>
      <c r="P841" s="247"/>
      <c r="Q841" s="248"/>
    </row>
    <row r="842" spans="1:17" ht="19.5" customHeight="1" x14ac:dyDescent="0.25">
      <c r="A842" s="237"/>
      <c r="B842" s="238"/>
      <c r="C842" s="239"/>
      <c r="D842" s="54"/>
      <c r="E842" s="20"/>
      <c r="F842" s="240"/>
      <c r="G842" s="241"/>
      <c r="H842" s="242"/>
      <c r="I842" s="243"/>
      <c r="J842" s="239"/>
      <c r="K842" s="241"/>
      <c r="L842" s="52"/>
      <c r="M842" s="244"/>
      <c r="N842" s="245"/>
      <c r="O842" s="246"/>
      <c r="P842" s="247"/>
      <c r="Q842" s="248"/>
    </row>
    <row r="843" spans="1:17" ht="19.5" customHeight="1" x14ac:dyDescent="0.25">
      <c r="A843" s="237"/>
      <c r="B843" s="238"/>
      <c r="C843" s="239"/>
      <c r="D843" s="54"/>
      <c r="E843" s="20"/>
      <c r="F843" s="240"/>
      <c r="G843" s="241"/>
      <c r="H843" s="242"/>
      <c r="I843" s="243"/>
      <c r="J843" s="239"/>
      <c r="K843" s="241"/>
      <c r="L843" s="52"/>
      <c r="M843" s="244"/>
      <c r="N843" s="245"/>
      <c r="O843" s="246"/>
      <c r="P843" s="247"/>
      <c r="Q843" s="248"/>
    </row>
    <row r="844" spans="1:17" ht="19.5" customHeight="1" x14ac:dyDescent="0.25">
      <c r="A844" s="237"/>
      <c r="B844" s="238"/>
      <c r="C844" s="239"/>
      <c r="D844" s="54"/>
      <c r="E844" s="19"/>
      <c r="F844" s="240"/>
      <c r="G844" s="241"/>
      <c r="H844" s="242"/>
      <c r="I844" s="243"/>
      <c r="J844" s="239"/>
      <c r="K844" s="241"/>
      <c r="L844" s="52"/>
      <c r="M844" s="244"/>
      <c r="N844" s="245"/>
      <c r="O844" s="246"/>
      <c r="P844" s="247"/>
      <c r="Q844" s="248"/>
    </row>
    <row r="845" spans="1:17" ht="19.5" customHeight="1" x14ac:dyDescent="0.25">
      <c r="A845" s="149"/>
      <c r="B845" s="150"/>
      <c r="C845" s="151"/>
      <c r="D845" s="152"/>
      <c r="E845" s="153"/>
      <c r="F845" s="154"/>
      <c r="G845" s="155"/>
      <c r="H845" s="156"/>
      <c r="I845" s="157"/>
      <c r="J845" s="151"/>
      <c r="K845" s="155"/>
      <c r="L845" s="158"/>
      <c r="M845" s="159"/>
      <c r="N845" s="160"/>
      <c r="O845" s="161"/>
      <c r="P845" s="162"/>
      <c r="Q845" s="163"/>
    </row>
    <row r="846" spans="1:17" ht="19.5" customHeight="1" x14ac:dyDescent="0.25">
      <c r="A846" s="237"/>
      <c r="B846" s="238"/>
      <c r="C846" s="239"/>
      <c r="D846" s="54"/>
      <c r="E846" s="19"/>
      <c r="F846" s="240"/>
      <c r="G846" s="241"/>
      <c r="H846" s="242"/>
      <c r="I846" s="243"/>
      <c r="J846" s="239"/>
      <c r="K846" s="241"/>
      <c r="L846" s="52"/>
      <c r="M846" s="244"/>
      <c r="N846" s="245"/>
      <c r="O846" s="246"/>
      <c r="P846" s="247"/>
      <c r="Q846" s="248"/>
    </row>
  </sheetData>
  <sortState xmlns:xlrd2="http://schemas.microsoft.com/office/spreadsheetml/2017/richdata2" ref="A2:Q846">
    <sortCondition ref="B2"/>
    <sortCondition ref="H2"/>
    <sortCondition ref="F2"/>
  </sortState>
  <mergeCells count="20">
    <mergeCell ref="Y23:Z26"/>
    <mergeCell ref="AA23:AC26"/>
    <mergeCell ref="AA9:AC12"/>
    <mergeCell ref="AA14:AC17"/>
    <mergeCell ref="AA19:AC21"/>
    <mergeCell ref="Y22:AC22"/>
    <mergeCell ref="Y14:Z17"/>
    <mergeCell ref="Y13:AC13"/>
    <mergeCell ref="Y18:AC18"/>
    <mergeCell ref="Y8:AC8"/>
    <mergeCell ref="Y9:Z12"/>
    <mergeCell ref="Y19:Z21"/>
    <mergeCell ref="T3:W8"/>
    <mergeCell ref="T1:W2"/>
    <mergeCell ref="Y4:Z7"/>
    <mergeCell ref="AA4:AC7"/>
    <mergeCell ref="Y1:AC2"/>
    <mergeCell ref="Y3:AC3"/>
    <mergeCell ref="T9:W10"/>
    <mergeCell ref="T11:W12"/>
  </mergeCells>
  <phoneticPr fontId="12" type="noConversion"/>
  <pageMargins left="0.7" right="0.7" top="0.75" bottom="0.75" header="0.3" footer="0.3"/>
  <ignoredErrors>
    <ignoredError sqref="K847:K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ortInventory">
                <anchor moveWithCells="1" sizeWithCells="1">
                  <from>
                    <xdr:col>19</xdr:col>
                    <xdr:colOff>95250</xdr:colOff>
                    <xdr:row>2</xdr:row>
                    <xdr:rowOff>95250</xdr:rowOff>
                  </from>
                  <to>
                    <xdr:col>22</xdr:col>
                    <xdr:colOff>533400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ortByQuantityDesc">
                <anchor moveWithCells="1" sizeWithCells="1">
                  <from>
                    <xdr:col>21</xdr:col>
                    <xdr:colOff>38100</xdr:colOff>
                    <xdr:row>10</xdr:row>
                    <xdr:rowOff>28575</xdr:rowOff>
                  </from>
                  <to>
                    <xdr:col>22</xdr:col>
                    <xdr:colOff>533400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ortByTotalCostDesc">
                <anchor moveWithCells="1" sizeWithCells="1">
                  <from>
                    <xdr:col>19</xdr:col>
                    <xdr:colOff>95250</xdr:colOff>
                    <xdr:row>8</xdr:row>
                    <xdr:rowOff>57150</xdr:rowOff>
                  </from>
                  <to>
                    <xdr:col>21</xdr:col>
                    <xdr:colOff>352425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ortByUnitPriceDesc">
                <anchor moveWithCells="1" sizeWithCells="1">
                  <from>
                    <xdr:col>21</xdr:col>
                    <xdr:colOff>400050</xdr:colOff>
                    <xdr:row>8</xdr:row>
                    <xdr:rowOff>57150</xdr:rowOff>
                  </from>
                  <to>
                    <xdr:col>22</xdr:col>
                    <xdr:colOff>533400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SortByType">
                <anchor moveWithCells="1" sizeWithCells="1">
                  <from>
                    <xdr:col>19</xdr:col>
                    <xdr:colOff>95250</xdr:colOff>
                    <xdr:row>10</xdr:row>
                    <xdr:rowOff>28575</xdr:rowOff>
                  </from>
                  <to>
                    <xdr:col>20</xdr:col>
                    <xdr:colOff>552450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SortByExpiry">
                <anchor moveWithCells="1" sizeWithCells="1">
                  <from>
                    <xdr:col>19</xdr:col>
                    <xdr:colOff>95250</xdr:colOff>
                    <xdr:row>12</xdr:row>
                    <xdr:rowOff>38100</xdr:rowOff>
                  </from>
                  <to>
                    <xdr:col>22</xdr:col>
                    <xdr:colOff>533400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SortByDateAddedDesc">
                <anchor moveWithCells="1" sizeWithCells="1">
                  <from>
                    <xdr:col>21</xdr:col>
                    <xdr:colOff>57150</xdr:colOff>
                    <xdr:row>18</xdr:row>
                    <xdr:rowOff>95250</xdr:rowOff>
                  </from>
                  <to>
                    <xdr:col>22</xdr:col>
                    <xdr:colOff>504825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SortByLastUpdatedDesc">
                <anchor moveWithCells="1" sizeWithCells="1">
                  <from>
                    <xdr:col>19</xdr:col>
                    <xdr:colOff>85725</xdr:colOff>
                    <xdr:row>22</xdr:row>
                    <xdr:rowOff>57150</xdr:rowOff>
                  </from>
                  <to>
                    <xdr:col>22</xdr:col>
                    <xdr:colOff>514350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1" name="Button 11">
              <controlPr defaultSize="0" print="0" autoFill="0" autoPict="0" macro="[0]!UpdateExpiredStatus">
                <anchor moveWithCells="1" sizeWithCells="1">
                  <from>
                    <xdr:col>24</xdr:col>
                    <xdr:colOff>66675</xdr:colOff>
                    <xdr:row>8</xdr:row>
                    <xdr:rowOff>66675</xdr:rowOff>
                  </from>
                  <to>
                    <xdr:col>25</xdr:col>
                    <xdr:colOff>542925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2" name="Button 12">
              <controlPr defaultSize="0" print="0" autoFill="0" autoPict="0" macro="[0]!GenerateItemForAllRows">
                <anchor moveWithCells="1" sizeWithCells="1">
                  <from>
                    <xdr:col>24</xdr:col>
                    <xdr:colOff>66675</xdr:colOff>
                    <xdr:row>18</xdr:row>
                    <xdr:rowOff>66675</xdr:rowOff>
                  </from>
                  <to>
                    <xdr:col>25</xdr:col>
                    <xdr:colOff>542925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3" name="Button 13">
              <controlPr defaultSize="0" print="0" autoFill="0" autoPict="0" macro="[0]!ProperCaseGenericNames">
                <anchor moveWithCells="1" sizeWithCells="1">
                  <from>
                    <xdr:col>24</xdr:col>
                    <xdr:colOff>66675</xdr:colOff>
                    <xdr:row>22</xdr:row>
                    <xdr:rowOff>66675</xdr:rowOff>
                  </from>
                  <to>
                    <xdr:col>25</xdr:col>
                    <xdr:colOff>542925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4" name="Button 14">
              <controlPr defaultSize="0" print="0" autoFill="0" autoPict="0" macro="[0]!ConvertTotalCostToFormula">
                <anchor moveWithCells="1" sizeWithCells="1">
                  <from>
                    <xdr:col>24</xdr:col>
                    <xdr:colOff>66675</xdr:colOff>
                    <xdr:row>3</xdr:row>
                    <xdr:rowOff>66675</xdr:rowOff>
                  </from>
                  <to>
                    <xdr:col>25</xdr:col>
                    <xdr:colOff>542925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Button 15">
              <controlPr defaultSize="0" print="0" autoFill="0" autoPict="0" macro="[0]!SortByDateAddedAsc">
                <anchor moveWithCells="1" sizeWithCells="1">
                  <from>
                    <xdr:col>19</xdr:col>
                    <xdr:colOff>85725</xdr:colOff>
                    <xdr:row>18</xdr:row>
                    <xdr:rowOff>95250</xdr:rowOff>
                  </from>
                  <to>
                    <xdr:col>20</xdr:col>
                    <xdr:colOff>552450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Button 16">
              <controlPr defaultSize="0" print="0" autoFill="0" autoPict="0" macro="[0]!HighlightExpiryStatus">
                <anchor moveWithCells="1" sizeWithCells="1">
                  <from>
                    <xdr:col>24</xdr:col>
                    <xdr:colOff>66675</xdr:colOff>
                    <xdr:row>13</xdr:row>
                    <xdr:rowOff>66675</xdr:rowOff>
                  </from>
                  <to>
                    <xdr:col>25</xdr:col>
                    <xdr:colOff>542925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N30"/>
  <sheetViews>
    <sheetView zoomScale="175" zoomScaleNormal="175" workbookViewId="0">
      <selection activeCell="A7" sqref="A7"/>
    </sheetView>
  </sheetViews>
  <sheetFormatPr defaultColWidth="9.140625" defaultRowHeight="15" x14ac:dyDescent="0.25"/>
  <cols>
    <col min="1" max="1" width="18.42578125" style="1" customWidth="1"/>
    <col min="2" max="2" width="32.42578125" style="1" customWidth="1"/>
    <col min="3" max="3" width="12.140625" style="1" customWidth="1"/>
    <col min="4" max="4" width="9.28515625" style="1" customWidth="1"/>
    <col min="5" max="5" width="19.140625" style="1" customWidth="1"/>
    <col min="6" max="6" width="46.5703125" style="1" customWidth="1"/>
    <col min="7" max="7" width="15.28515625" customWidth="1"/>
    <col min="8" max="8" width="7.5703125" style="1" customWidth="1"/>
    <col min="9" max="16384" width="9.140625" style="1"/>
  </cols>
  <sheetData>
    <row r="1" spans="1:14" ht="35.25" thickBot="1" x14ac:dyDescent="0.3">
      <c r="A1" s="430" t="s">
        <v>79</v>
      </c>
      <c r="B1" s="431"/>
      <c r="C1" s="436" t="s">
        <v>127</v>
      </c>
      <c r="D1" s="437"/>
      <c r="E1" s="438" t="s">
        <v>32</v>
      </c>
      <c r="F1" s="439"/>
      <c r="G1" s="62"/>
      <c r="H1" s="60" t="s">
        <v>128</v>
      </c>
      <c r="I1" s="60"/>
      <c r="J1" s="60"/>
      <c r="K1" s="60"/>
      <c r="L1" s="60"/>
      <c r="M1" s="60"/>
      <c r="N1" s="21"/>
    </row>
    <row r="2" spans="1:14" ht="15.75" customHeight="1" x14ac:dyDescent="0.25">
      <c r="A2" s="74" t="s">
        <v>99</v>
      </c>
      <c r="B2" s="79"/>
      <c r="C2" s="63"/>
      <c r="D2" s="63"/>
      <c r="E2" s="22" t="s">
        <v>42</v>
      </c>
      <c r="F2" s="275"/>
      <c r="G2" s="61"/>
      <c r="H2" s="64" t="s">
        <v>29</v>
      </c>
      <c r="I2" s="64"/>
      <c r="J2" s="64"/>
      <c r="K2" s="64"/>
      <c r="L2" s="64"/>
      <c r="M2" s="64"/>
      <c r="N2" s="8"/>
    </row>
    <row r="3" spans="1:14" x14ac:dyDescent="0.25">
      <c r="A3" s="75" t="s">
        <v>247</v>
      </c>
      <c r="B3" s="80"/>
      <c r="C3" s="63"/>
      <c r="D3" s="63"/>
      <c r="E3" s="23" t="s">
        <v>26</v>
      </c>
      <c r="F3" s="56"/>
      <c r="G3" s="61"/>
      <c r="H3" s="64" t="s">
        <v>30</v>
      </c>
      <c r="I3" s="64"/>
      <c r="J3" s="64"/>
      <c r="K3" s="64"/>
      <c r="L3" s="64"/>
      <c r="M3" s="64"/>
      <c r="N3" s="8"/>
    </row>
    <row r="4" spans="1:14" x14ac:dyDescent="0.25">
      <c r="A4" s="75" t="s">
        <v>98</v>
      </c>
      <c r="B4" s="81"/>
      <c r="C4" s="63"/>
      <c r="D4" s="63"/>
      <c r="E4" s="23" t="s">
        <v>27</v>
      </c>
      <c r="F4" s="26"/>
      <c r="G4" s="61"/>
      <c r="H4" s="64" t="s">
        <v>122</v>
      </c>
      <c r="I4" s="64"/>
      <c r="J4" s="64"/>
      <c r="K4" s="64"/>
      <c r="L4" s="64"/>
      <c r="M4" s="64"/>
      <c r="N4" s="8"/>
    </row>
    <row r="5" spans="1:14" ht="18" x14ac:dyDescent="0.25">
      <c r="A5" s="75" t="s">
        <v>71</v>
      </c>
      <c r="B5" s="82"/>
      <c r="C5" s="63"/>
      <c r="D5" s="63"/>
      <c r="E5" s="24" t="s">
        <v>28</v>
      </c>
      <c r="F5" s="274"/>
      <c r="G5" s="61"/>
      <c r="H5" s="64" t="s">
        <v>31</v>
      </c>
      <c r="I5" s="64"/>
      <c r="J5" s="64"/>
      <c r="K5" s="64"/>
      <c r="L5" s="64"/>
      <c r="M5" s="64"/>
      <c r="N5" s="8"/>
    </row>
    <row r="6" spans="1:14" x14ac:dyDescent="0.25">
      <c r="A6" s="75" t="s">
        <v>9</v>
      </c>
      <c r="B6" s="83"/>
      <c r="C6" s="65"/>
      <c r="D6" s="63"/>
      <c r="E6" s="23" t="s">
        <v>80</v>
      </c>
      <c r="F6" s="57"/>
      <c r="G6" s="61"/>
      <c r="H6" s="64" t="s">
        <v>120</v>
      </c>
      <c r="I6" s="64"/>
      <c r="J6" s="64"/>
      <c r="K6" s="64"/>
      <c r="L6" s="64"/>
      <c r="M6" s="64"/>
      <c r="N6" s="8"/>
    </row>
    <row r="7" spans="1:14" ht="15.75" thickBot="1" x14ac:dyDescent="0.2">
      <c r="A7" s="75" t="s">
        <v>84</v>
      </c>
      <c r="B7" s="82"/>
      <c r="C7" s="66" t="s">
        <v>89</v>
      </c>
      <c r="D7" s="63"/>
      <c r="E7" s="23" t="s">
        <v>46</v>
      </c>
      <c r="F7" s="58"/>
      <c r="G7" s="71" t="s">
        <v>206</v>
      </c>
      <c r="H7" s="64" t="s">
        <v>129</v>
      </c>
      <c r="I7" s="64"/>
      <c r="J7" s="64"/>
      <c r="K7" s="64"/>
      <c r="L7" s="64"/>
      <c r="M7" s="64"/>
      <c r="N7" s="8"/>
    </row>
    <row r="8" spans="1:14" ht="15.75" thickBot="1" x14ac:dyDescent="0.3">
      <c r="A8" s="75" t="s">
        <v>1</v>
      </c>
      <c r="B8" s="84"/>
      <c r="C8" s="66" t="s">
        <v>69</v>
      </c>
      <c r="D8" s="63"/>
      <c r="E8" s="25" t="s">
        <v>41</v>
      </c>
      <c r="F8" s="59"/>
      <c r="G8" s="85" t="e">
        <f>IMDIV(F8,F7)</f>
        <v>#NUM!</v>
      </c>
      <c r="H8" s="67" t="s">
        <v>49</v>
      </c>
      <c r="I8" s="67"/>
      <c r="J8" s="67"/>
      <c r="K8" s="67"/>
      <c r="L8" s="67"/>
      <c r="M8" s="67"/>
      <c r="N8" s="8"/>
    </row>
    <row r="9" spans="1:14" ht="15.75" thickBot="1" x14ac:dyDescent="0.3">
      <c r="A9" s="75" t="s">
        <v>2</v>
      </c>
      <c r="B9" s="82"/>
      <c r="C9" s="77" t="s">
        <v>237</v>
      </c>
      <c r="D9" s="63"/>
      <c r="E9" s="68"/>
      <c r="F9" s="440"/>
      <c r="G9" s="61"/>
      <c r="H9" s="68"/>
      <c r="I9" s="68"/>
      <c r="J9" s="68"/>
      <c r="K9" s="68"/>
      <c r="L9" s="68"/>
      <c r="M9" s="68"/>
      <c r="N9" s="8"/>
    </row>
    <row r="10" spans="1:14" ht="15.75" thickBot="1" x14ac:dyDescent="0.3">
      <c r="A10" s="76" t="s">
        <v>109</v>
      </c>
      <c r="B10" s="113"/>
      <c r="C10" s="78">
        <f>PRODUCT(B7,B10)</f>
        <v>0</v>
      </c>
      <c r="D10" s="122" t="s">
        <v>238</v>
      </c>
      <c r="E10" s="68"/>
      <c r="F10" s="441"/>
      <c r="G10" s="61"/>
      <c r="H10" s="68"/>
      <c r="I10" s="68"/>
      <c r="J10" s="68"/>
      <c r="K10" s="68"/>
      <c r="L10" s="68"/>
      <c r="M10" s="68"/>
      <c r="N10" s="8"/>
    </row>
    <row r="11" spans="1:14" ht="15.75" thickBot="1" x14ac:dyDescent="0.3">
      <c r="A11" s="117" t="s">
        <v>83</v>
      </c>
      <c r="B11" s="116"/>
      <c r="C11" s="66"/>
      <c r="D11" s="63"/>
      <c r="E11" s="68"/>
      <c r="F11" s="68"/>
      <c r="G11" s="61"/>
      <c r="H11" s="68"/>
      <c r="I11" s="68"/>
      <c r="J11" s="68"/>
      <c r="K11" s="68"/>
      <c r="L11" s="68"/>
      <c r="M11" s="68"/>
      <c r="N11" s="8"/>
    </row>
    <row r="12" spans="1:14" x14ac:dyDescent="0.25">
      <c r="A12" s="114" t="s">
        <v>123</v>
      </c>
      <c r="B12" s="115"/>
      <c r="C12" s="442" t="s">
        <v>124</v>
      </c>
      <c r="D12" s="442"/>
      <c r="E12" s="68"/>
      <c r="F12" s="68"/>
      <c r="G12" s="61"/>
      <c r="H12" s="68"/>
      <c r="I12" s="68"/>
      <c r="J12" s="68"/>
      <c r="K12" s="68"/>
      <c r="L12" s="68"/>
      <c r="M12" s="68"/>
      <c r="N12" s="8"/>
    </row>
    <row r="13" spans="1:14" ht="15.75" thickBot="1" x14ac:dyDescent="0.3">
      <c r="A13" s="112" t="s">
        <v>207</v>
      </c>
      <c r="B13" s="121"/>
      <c r="C13" s="442"/>
      <c r="D13" s="442"/>
      <c r="E13" s="68"/>
      <c r="F13" s="68"/>
      <c r="G13" s="61"/>
      <c r="H13" s="68"/>
      <c r="I13" s="68"/>
      <c r="J13" s="68"/>
      <c r="K13" s="68"/>
      <c r="L13" s="68"/>
      <c r="M13" s="68"/>
      <c r="N13" s="8"/>
    </row>
    <row r="14" spans="1:14" x14ac:dyDescent="0.25">
      <c r="A14" s="9"/>
      <c r="B14" s="72"/>
      <c r="C14" s="63"/>
      <c r="D14" s="63"/>
      <c r="E14" s="68"/>
      <c r="F14" s="68"/>
      <c r="G14" s="61"/>
      <c r="H14" s="68"/>
      <c r="I14" s="68"/>
      <c r="J14" s="68"/>
      <c r="K14" s="68"/>
      <c r="L14" s="68"/>
      <c r="M14" s="68"/>
      <c r="N14" s="8"/>
    </row>
    <row r="15" spans="1:14" x14ac:dyDescent="0.25">
      <c r="A15" s="9"/>
      <c r="B15" s="72"/>
      <c r="C15" s="63"/>
      <c r="D15" s="63"/>
      <c r="E15" s="68"/>
      <c r="F15" s="68"/>
      <c r="G15" s="61"/>
      <c r="H15" s="68"/>
      <c r="I15" s="68"/>
      <c r="J15" s="68"/>
      <c r="K15" s="68"/>
      <c r="L15" s="68"/>
      <c r="M15" s="68"/>
      <c r="N15" s="8"/>
    </row>
    <row r="16" spans="1:14" ht="15.75" thickBot="1" x14ac:dyDescent="0.3">
      <c r="A16" s="9"/>
      <c r="B16" s="73"/>
      <c r="C16" s="63"/>
      <c r="D16" s="63"/>
      <c r="E16" s="68"/>
      <c r="F16" s="68"/>
      <c r="G16" s="61"/>
      <c r="H16" s="68"/>
      <c r="I16" s="68"/>
      <c r="J16" s="68"/>
      <c r="K16" s="68"/>
      <c r="L16" s="68"/>
      <c r="M16" s="68"/>
      <c r="N16" s="8"/>
    </row>
    <row r="17" spans="1:14" x14ac:dyDescent="0.25">
      <c r="A17" s="9"/>
      <c r="B17" s="68"/>
      <c r="C17" s="63"/>
      <c r="D17" s="63"/>
      <c r="E17" s="68"/>
      <c r="F17" s="68"/>
      <c r="G17" s="61"/>
      <c r="H17" s="68"/>
      <c r="I17" s="68"/>
      <c r="J17" s="68"/>
      <c r="K17" s="68"/>
      <c r="L17" s="68"/>
      <c r="M17" s="68"/>
      <c r="N17" s="8"/>
    </row>
    <row r="18" spans="1:14" x14ac:dyDescent="0.25">
      <c r="A18" s="9"/>
      <c r="B18" s="68"/>
      <c r="C18" s="63"/>
      <c r="D18" s="63"/>
      <c r="E18" s="68"/>
      <c r="F18" s="68"/>
      <c r="G18" s="61"/>
      <c r="H18" s="68"/>
      <c r="I18" s="68"/>
      <c r="J18" s="68"/>
      <c r="K18" s="68"/>
      <c r="L18" s="68"/>
      <c r="M18" s="68"/>
      <c r="N18" s="8"/>
    </row>
    <row r="19" spans="1:14" ht="15.75" thickBot="1" x14ac:dyDescent="0.3">
      <c r="A19" s="9"/>
      <c r="B19" s="68"/>
      <c r="C19" s="63"/>
      <c r="D19" s="63"/>
      <c r="E19" s="68"/>
      <c r="F19" s="68"/>
      <c r="G19" s="61"/>
      <c r="H19" s="68"/>
      <c r="I19" s="68"/>
      <c r="J19" s="68"/>
      <c r="K19" s="68"/>
      <c r="L19" s="68"/>
      <c r="M19" s="68"/>
      <c r="N19" s="8"/>
    </row>
    <row r="20" spans="1:14" ht="43.5" customHeight="1" x14ac:dyDescent="0.25">
      <c r="A20" s="432" t="s">
        <v>75</v>
      </c>
      <c r="B20" s="433"/>
      <c r="C20" s="29" t="s">
        <v>121</v>
      </c>
      <c r="D20" s="63"/>
      <c r="E20" s="443"/>
      <c r="F20" s="68"/>
      <c r="G20" s="61"/>
      <c r="H20" s="68"/>
      <c r="I20" s="68"/>
      <c r="J20" s="68"/>
      <c r="K20" s="68"/>
      <c r="L20" s="68"/>
      <c r="M20" s="68"/>
      <c r="N20" s="8"/>
    </row>
    <row r="21" spans="1:14" x14ac:dyDescent="0.25">
      <c r="A21" s="30" t="s">
        <v>73</v>
      </c>
      <c r="B21" s="27"/>
      <c r="C21" s="434"/>
      <c r="D21" s="69"/>
      <c r="E21" s="444"/>
      <c r="F21" s="68"/>
      <c r="G21" s="61"/>
      <c r="H21" s="68"/>
      <c r="I21" s="68"/>
      <c r="J21" s="68"/>
      <c r="K21" s="68"/>
      <c r="L21" s="68"/>
      <c r="M21" s="68"/>
      <c r="N21" s="8"/>
    </row>
    <row r="22" spans="1:14" x14ac:dyDescent="0.25">
      <c r="A22" s="30" t="s">
        <v>8</v>
      </c>
      <c r="B22" s="27"/>
      <c r="C22" s="435"/>
      <c r="D22" s="69"/>
      <c r="E22" s="444"/>
      <c r="F22" s="68"/>
      <c r="G22" s="61"/>
      <c r="H22" s="68"/>
      <c r="I22" s="68"/>
      <c r="J22" s="68"/>
      <c r="K22" s="68"/>
      <c r="L22" s="68"/>
      <c r="M22" s="68"/>
      <c r="N22" s="8"/>
    </row>
    <row r="23" spans="1:14" x14ac:dyDescent="0.25">
      <c r="A23" s="31" t="s">
        <v>74</v>
      </c>
      <c r="B23" s="28"/>
      <c r="C23" s="32"/>
      <c r="D23" s="68"/>
      <c r="E23" s="444"/>
      <c r="F23" s="68"/>
      <c r="G23" s="61"/>
      <c r="H23" s="68"/>
      <c r="I23" s="68"/>
      <c r="J23" s="68"/>
      <c r="K23" s="68"/>
      <c r="L23" s="68"/>
      <c r="M23" s="68"/>
      <c r="N23" s="8"/>
    </row>
    <row r="24" spans="1:14" x14ac:dyDescent="0.25">
      <c r="A24" s="31" t="s">
        <v>78</v>
      </c>
      <c r="B24" s="28"/>
      <c r="C24" s="32"/>
      <c r="D24" s="68"/>
      <c r="E24" s="444"/>
      <c r="F24" s="68"/>
      <c r="G24" s="61"/>
      <c r="H24" s="68"/>
      <c r="I24" s="68"/>
      <c r="J24" s="68"/>
      <c r="K24" s="68"/>
      <c r="L24" s="68"/>
      <c r="M24" s="68"/>
      <c r="N24" s="8"/>
    </row>
    <row r="25" spans="1:14" ht="15.75" thickBot="1" x14ac:dyDescent="0.3">
      <c r="A25" s="33" t="s">
        <v>72</v>
      </c>
      <c r="B25" s="34"/>
      <c r="C25" s="35"/>
      <c r="D25" s="68"/>
      <c r="E25" s="444"/>
      <c r="F25" s="68"/>
      <c r="G25" s="61"/>
      <c r="H25" s="68"/>
      <c r="I25" s="68"/>
      <c r="J25" s="68"/>
      <c r="K25" s="68"/>
      <c r="L25" s="68"/>
      <c r="M25" s="68"/>
      <c r="N25" s="8"/>
    </row>
    <row r="26" spans="1:14" x14ac:dyDescent="0.25">
      <c r="A26" s="9"/>
      <c r="B26" s="69"/>
      <c r="C26" s="68"/>
      <c r="D26" s="68"/>
      <c r="E26" s="444"/>
      <c r="F26" s="68"/>
      <c r="G26" s="61"/>
      <c r="H26" s="68"/>
      <c r="I26" s="68"/>
      <c r="J26" s="68"/>
      <c r="K26" s="68"/>
      <c r="L26" s="68"/>
      <c r="M26" s="68"/>
      <c r="N26" s="8"/>
    </row>
    <row r="27" spans="1:14" x14ac:dyDescent="0.25">
      <c r="A27" s="9"/>
      <c r="B27" s="68"/>
      <c r="C27" s="68"/>
      <c r="D27" s="68"/>
      <c r="E27" s="444"/>
      <c r="F27" s="68"/>
      <c r="G27" s="61"/>
      <c r="H27" s="68"/>
      <c r="I27" s="68"/>
      <c r="J27" s="68"/>
      <c r="K27" s="68"/>
      <c r="L27" s="68"/>
      <c r="M27" s="68"/>
      <c r="N27" s="8"/>
    </row>
    <row r="28" spans="1:14" x14ac:dyDescent="0.25">
      <c r="A28" s="9"/>
      <c r="B28" s="68"/>
      <c r="C28" s="68"/>
      <c r="D28" s="68"/>
      <c r="E28" s="444"/>
      <c r="F28" s="68"/>
      <c r="G28" s="61"/>
      <c r="H28" s="68"/>
      <c r="I28" s="68"/>
      <c r="J28" s="68"/>
      <c r="K28" s="68"/>
      <c r="L28" s="68"/>
      <c r="M28" s="68"/>
      <c r="N28" s="8"/>
    </row>
    <row r="29" spans="1:14" x14ac:dyDescent="0.25">
      <c r="A29" s="9"/>
      <c r="B29" s="68"/>
      <c r="C29" s="68"/>
      <c r="D29" s="68"/>
      <c r="E29" s="444"/>
      <c r="F29" s="68"/>
      <c r="G29" s="61"/>
      <c r="H29" s="68"/>
      <c r="I29" s="68"/>
      <c r="J29" s="68"/>
      <c r="K29" s="68"/>
      <c r="L29" s="68"/>
      <c r="M29" s="68"/>
      <c r="N29" s="8"/>
    </row>
    <row r="30" spans="1:14" ht="15.75" thickBot="1" x14ac:dyDescent="0.3">
      <c r="A30" s="10"/>
      <c r="B30" s="11"/>
      <c r="C30" s="11"/>
      <c r="D30" s="11"/>
      <c r="E30" s="445"/>
      <c r="F30" s="11"/>
      <c r="G30" s="70"/>
      <c r="H30" s="11"/>
      <c r="I30" s="11"/>
      <c r="J30" s="11"/>
      <c r="K30" s="11"/>
      <c r="L30" s="11"/>
      <c r="M30" s="11"/>
      <c r="N30" s="12"/>
    </row>
  </sheetData>
  <mergeCells count="8">
    <mergeCell ref="A1:B1"/>
    <mergeCell ref="A20:B20"/>
    <mergeCell ref="C21:C22"/>
    <mergeCell ref="C1:D1"/>
    <mergeCell ref="E1:F1"/>
    <mergeCell ref="F9:F10"/>
    <mergeCell ref="C12:D13"/>
    <mergeCell ref="E20:E30"/>
  </mergeCells>
  <phoneticPr fontId="1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ddRecord">
                <anchor moveWithCells="1" sizeWithCells="1">
                  <from>
                    <xdr:col>1</xdr:col>
                    <xdr:colOff>38100</xdr:colOff>
                    <xdr:row>13</xdr:row>
                    <xdr:rowOff>47625</xdr:rowOff>
                  </from>
                  <to>
                    <xdr:col>1</xdr:col>
                    <xdr:colOff>2114550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>
                <anchor moveWithCells="1" sizeWithCells="1">
                  <from>
                    <xdr:col>2</xdr:col>
                    <xdr:colOff>9525</xdr:colOff>
                    <xdr:row>20</xdr:row>
                    <xdr:rowOff>19050</xdr:rowOff>
                  </from>
                  <to>
                    <xdr:col>2</xdr:col>
                    <xdr:colOff>790575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learForm">
                <anchor moveWithCells="1" sizeWithCells="1">
                  <from>
                    <xdr:col>1</xdr:col>
                    <xdr:colOff>38100</xdr:colOff>
                    <xdr:row>14</xdr:row>
                    <xdr:rowOff>161925</xdr:rowOff>
                  </from>
                  <to>
                    <xdr:col>1</xdr:col>
                    <xdr:colOff>2114550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RecordOutgoing">
                <anchor moveWithCells="1" sizeWithCells="1">
                  <from>
                    <xdr:col>5</xdr:col>
                    <xdr:colOff>38100</xdr:colOff>
                    <xdr:row>8</xdr:row>
                    <xdr:rowOff>38100</xdr:rowOff>
                  </from>
                  <to>
                    <xdr:col>5</xdr:col>
                    <xdr:colOff>1266825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ClearForm">
                <anchor moveWithCells="1" sizeWithCells="1">
                  <from>
                    <xdr:col>5</xdr:col>
                    <xdr:colOff>1323975</xdr:colOff>
                    <xdr:row>8</xdr:row>
                    <xdr:rowOff>38100</xdr:rowOff>
                  </from>
                  <to>
                    <xdr:col>5</xdr:col>
                    <xdr:colOff>1847850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>
                <anchor moveWithCells="1" sizeWithCells="1">
                  <from>
                    <xdr:col>2</xdr:col>
                    <xdr:colOff>38100</xdr:colOff>
                    <xdr:row>24</xdr:row>
                    <xdr:rowOff>19050</xdr:rowOff>
                  </from>
                  <to>
                    <xdr:col>2</xdr:col>
                    <xdr:colOff>800100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0" name="Button 37">
              <controlPr defaultSize="0" print="0" autoFill="0" autoPict="0" macro="[0]!ShowBatchSelector">
                <anchor moveWithCells="1" sizeWithCells="1">
                  <from>
                    <xdr:col>5</xdr:col>
                    <xdr:colOff>2352675</xdr:colOff>
                    <xdr:row>4</xdr:row>
                    <xdr:rowOff>28575</xdr:rowOff>
                  </from>
                  <to>
                    <xdr:col>5</xdr:col>
                    <xdr:colOff>3076575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xWindow="486" yWindow="449" count="2">
        <x14:dataValidation type="list" allowBlank="1" showInputMessage="1" showErrorMessage="1" xr:uid="{03548D1D-8197-4D15-8422-FA74E1A54B06}">
          <x14:formula1>
            <xm:f>Lists!$A$2:$A$12</xm:f>
          </x14:formula1>
          <xm:sqref>B9</xm:sqref>
        </x14:dataValidation>
        <x14:dataValidation type="list" allowBlank="1" showInputMessage="1" showErrorMessage="1" xr:uid="{27943766-29C0-48B9-9479-CBAD40FB6985}">
          <x14:formula1>
            <xm:f>Lists!$C$2:$C$3</xm:f>
          </x14:formula1>
          <xm:sqref>B12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F677B-2230-4A36-8BF3-954A6914E325}">
  <sheetPr codeName="Sheet11">
    <tabColor rgb="FFFFFF00"/>
  </sheetPr>
  <dimension ref="A1:AA871"/>
  <sheetViews>
    <sheetView zoomScaleNormal="100" workbookViewId="0">
      <selection activeCell="B8" sqref="B8"/>
    </sheetView>
  </sheetViews>
  <sheetFormatPr defaultRowHeight="19.5" customHeight="1" x14ac:dyDescent="0.25"/>
  <cols>
    <col min="1" max="1" width="19.5703125" style="38" bestFit="1" customWidth="1"/>
    <col min="2" max="2" width="71.28515625" style="214" customWidth="1"/>
    <col min="3" max="3" width="26.7109375" style="136" customWidth="1"/>
    <col min="4" max="4" width="20.7109375" style="191" bestFit="1" customWidth="1"/>
    <col min="5" max="5" width="10.140625" style="192" customWidth="1"/>
    <col min="6" max="6" width="61.28515625" style="193" customWidth="1"/>
    <col min="7" max="7" width="21" style="211" bestFit="1" customWidth="1"/>
    <col min="8" max="8" width="18.5703125" style="212" bestFit="1" customWidth="1"/>
    <col min="9" max="9" width="6.7109375" style="189" customWidth="1"/>
    <col min="10" max="12" width="9.140625" style="1"/>
    <col min="13" max="13" width="37.28515625" style="1" customWidth="1"/>
    <col min="14" max="15" width="9.140625" style="1"/>
    <col min="16" max="16" width="10.85546875" style="208" bestFit="1" customWidth="1"/>
    <col min="17" max="17" width="42.7109375" style="202" bestFit="1" customWidth="1"/>
    <col min="18" max="18" width="19" style="203" bestFit="1" customWidth="1"/>
    <col min="19" max="19" width="15.28515625" style="204" bestFit="1" customWidth="1"/>
    <col min="20" max="20" width="9.140625" style="204"/>
    <col min="21" max="21" width="53" style="205" bestFit="1" customWidth="1"/>
    <col min="22" max="22" width="13.85546875" style="206" bestFit="1" customWidth="1"/>
    <col min="23" max="23" width="12.85546875" style="207" bestFit="1" customWidth="1"/>
    <col min="24" max="24" width="2.85546875" style="1" customWidth="1"/>
    <col min="25" max="16384" width="9.140625" style="1"/>
  </cols>
  <sheetData>
    <row r="1" spans="1:27" s="305" customFormat="1" ht="30.75" thickBot="1" x14ac:dyDescent="0.3">
      <c r="A1" s="298" t="s">
        <v>35</v>
      </c>
      <c r="B1" s="299" t="s">
        <v>36</v>
      </c>
      <c r="C1" s="299" t="s">
        <v>37</v>
      </c>
      <c r="D1" s="300" t="s">
        <v>38</v>
      </c>
      <c r="E1" s="301" t="s">
        <v>39</v>
      </c>
      <c r="F1" s="302" t="s">
        <v>172</v>
      </c>
      <c r="G1" s="297" t="s">
        <v>239</v>
      </c>
      <c r="H1" s="303" t="s">
        <v>229</v>
      </c>
      <c r="I1" s="304"/>
      <c r="J1" s="335" t="s">
        <v>100</v>
      </c>
      <c r="K1" s="336"/>
      <c r="L1" s="337"/>
      <c r="P1" s="359" t="s">
        <v>241</v>
      </c>
      <c r="Q1" s="360"/>
      <c r="R1" s="360"/>
      <c r="S1" s="360"/>
      <c r="T1" s="360"/>
      <c r="U1" s="360"/>
      <c r="V1" s="360"/>
      <c r="W1" s="361"/>
      <c r="Y1" s="338"/>
      <c r="Z1" s="339"/>
      <c r="AA1" s="340"/>
    </row>
    <row r="2" spans="1:27" ht="19.5" customHeight="1" thickBot="1" x14ac:dyDescent="0.3">
      <c r="G2" s="209"/>
      <c r="H2" s="210"/>
      <c r="J2" s="323"/>
      <c r="K2" s="324"/>
      <c r="L2" s="325"/>
      <c r="M2" s="4"/>
      <c r="P2" s="188" t="s">
        <v>194</v>
      </c>
      <c r="Q2" s="332" t="s">
        <v>264</v>
      </c>
      <c r="R2" s="333"/>
      <c r="S2" s="333"/>
      <c r="T2" s="333"/>
      <c r="U2" s="333"/>
      <c r="V2" s="333"/>
      <c r="W2" s="334"/>
      <c r="Y2" s="341"/>
      <c r="Z2" s="342"/>
      <c r="AA2" s="343"/>
    </row>
    <row r="3" spans="1:27" ht="19.5" customHeight="1" thickBot="1" x14ac:dyDescent="0.3">
      <c r="J3" s="326"/>
      <c r="K3" s="327"/>
      <c r="L3" s="328"/>
      <c r="M3" s="4"/>
      <c r="P3" s="123" t="s">
        <v>35</v>
      </c>
      <c r="Q3" s="123" t="s">
        <v>36</v>
      </c>
      <c r="R3" s="123" t="s">
        <v>242</v>
      </c>
      <c r="S3" s="123" t="s">
        <v>125</v>
      </c>
      <c r="T3" s="123" t="s">
        <v>39</v>
      </c>
      <c r="U3" s="123" t="s">
        <v>172</v>
      </c>
      <c r="V3" s="194" t="s">
        <v>243</v>
      </c>
      <c r="W3" s="195" t="s">
        <v>244</v>
      </c>
      <c r="Y3" s="344"/>
      <c r="Z3" s="345"/>
      <c r="AA3" s="346"/>
    </row>
    <row r="4" spans="1:27" ht="19.5" customHeight="1" x14ac:dyDescent="0.25">
      <c r="J4" s="326"/>
      <c r="K4" s="327"/>
      <c r="L4" s="328"/>
      <c r="M4" s="4"/>
      <c r="P4" s="124">
        <v>46026</v>
      </c>
      <c r="Q4" s="196" t="s">
        <v>34</v>
      </c>
      <c r="R4" s="197" t="s">
        <v>119</v>
      </c>
      <c r="S4" s="198" t="s">
        <v>43</v>
      </c>
      <c r="T4" s="198">
        <v>400</v>
      </c>
      <c r="U4" s="199" t="s">
        <v>144</v>
      </c>
      <c r="V4" s="200">
        <v>65</v>
      </c>
      <c r="W4" s="201">
        <v>26000</v>
      </c>
      <c r="Y4" s="4"/>
      <c r="Z4" s="4"/>
      <c r="AA4" s="4"/>
    </row>
    <row r="5" spans="1:27" ht="19.5" customHeight="1" thickBot="1" x14ac:dyDescent="0.3">
      <c r="J5" s="329"/>
      <c r="K5" s="330"/>
      <c r="L5" s="331"/>
      <c r="M5" s="4"/>
      <c r="P5" s="125">
        <v>46026</v>
      </c>
      <c r="Q5" s="202" t="s">
        <v>34</v>
      </c>
      <c r="R5" s="203" t="s">
        <v>119</v>
      </c>
      <c r="S5" s="204">
        <v>315621</v>
      </c>
      <c r="T5" s="204">
        <v>60</v>
      </c>
      <c r="U5" s="205" t="s">
        <v>145</v>
      </c>
      <c r="V5" s="206">
        <v>150</v>
      </c>
      <c r="W5" s="207">
        <v>9000</v>
      </c>
      <c r="Y5" s="4"/>
      <c r="Z5" s="4"/>
      <c r="AA5" s="4"/>
    </row>
    <row r="6" spans="1:27" ht="19.5" customHeight="1" x14ac:dyDescent="0.25">
      <c r="J6" s="347"/>
      <c r="K6" s="348"/>
      <c r="L6" s="349"/>
      <c r="P6" s="125">
        <v>46026</v>
      </c>
      <c r="Q6" s="202" t="s">
        <v>34</v>
      </c>
      <c r="R6" s="203" t="s">
        <v>119</v>
      </c>
      <c r="S6" s="204" t="s">
        <v>126</v>
      </c>
      <c r="T6" s="204">
        <v>120</v>
      </c>
      <c r="U6" s="205" t="s">
        <v>149</v>
      </c>
      <c r="V6" s="206">
        <v>446</v>
      </c>
      <c r="W6" s="207">
        <v>53520</v>
      </c>
    </row>
    <row r="7" spans="1:27" ht="19.5" customHeight="1" thickBot="1" x14ac:dyDescent="0.3">
      <c r="J7" s="350"/>
      <c r="K7" s="351"/>
      <c r="L7" s="352"/>
      <c r="P7" s="125">
        <v>46026</v>
      </c>
      <c r="Q7" s="202" t="s">
        <v>34</v>
      </c>
      <c r="R7" s="203" t="s">
        <v>119</v>
      </c>
      <c r="S7" s="204" t="s">
        <v>111</v>
      </c>
      <c r="T7" s="204">
        <v>1080</v>
      </c>
      <c r="U7" s="205" t="s">
        <v>181</v>
      </c>
      <c r="V7" s="206">
        <v>18</v>
      </c>
      <c r="W7" s="207">
        <v>19440</v>
      </c>
    </row>
    <row r="8" spans="1:27" ht="19.5" customHeight="1" x14ac:dyDescent="0.25">
      <c r="J8" s="353"/>
      <c r="K8" s="354"/>
      <c r="L8" s="355"/>
      <c r="P8" s="125">
        <v>46026</v>
      </c>
      <c r="Q8" s="202" t="s">
        <v>34</v>
      </c>
      <c r="R8" s="203" t="s">
        <v>119</v>
      </c>
      <c r="S8" s="204" t="s">
        <v>68</v>
      </c>
      <c r="T8" s="204">
        <v>420</v>
      </c>
      <c r="U8" s="205" t="s">
        <v>181</v>
      </c>
      <c r="V8" s="206">
        <v>18</v>
      </c>
      <c r="W8" s="207">
        <v>7560</v>
      </c>
    </row>
    <row r="9" spans="1:27" ht="19.5" customHeight="1" thickBot="1" x14ac:dyDescent="0.3">
      <c r="J9" s="356"/>
      <c r="K9" s="357"/>
      <c r="L9" s="358"/>
      <c r="P9" s="125">
        <v>46026</v>
      </c>
      <c r="Q9" s="202" t="s">
        <v>34</v>
      </c>
      <c r="R9" s="203" t="s">
        <v>119</v>
      </c>
      <c r="S9" s="204" t="s">
        <v>22</v>
      </c>
      <c r="T9" s="204">
        <v>58</v>
      </c>
      <c r="U9" s="205" t="s">
        <v>153</v>
      </c>
      <c r="V9" s="206">
        <v>235</v>
      </c>
      <c r="W9" s="207">
        <v>13630</v>
      </c>
    </row>
    <row r="10" spans="1:27" ht="19.5" customHeight="1" x14ac:dyDescent="0.25">
      <c r="J10" s="323"/>
      <c r="K10" s="324"/>
      <c r="L10" s="325"/>
      <c r="P10" s="125">
        <v>46026</v>
      </c>
      <c r="Q10" s="202" t="s">
        <v>34</v>
      </c>
      <c r="R10" s="203" t="s">
        <v>119</v>
      </c>
      <c r="S10" s="204" t="s">
        <v>88</v>
      </c>
      <c r="T10" s="204">
        <v>1500</v>
      </c>
      <c r="U10" s="205" t="s">
        <v>180</v>
      </c>
      <c r="V10" s="206">
        <v>195</v>
      </c>
      <c r="W10" s="207">
        <v>292500</v>
      </c>
    </row>
    <row r="11" spans="1:27" ht="19.5" customHeight="1" x14ac:dyDescent="0.25">
      <c r="J11" s="326"/>
      <c r="K11" s="327"/>
      <c r="L11" s="328"/>
      <c r="P11" s="125">
        <v>46032</v>
      </c>
      <c r="Q11" s="202" t="s">
        <v>34</v>
      </c>
      <c r="R11" s="203" t="s">
        <v>55</v>
      </c>
      <c r="S11" s="204" t="s">
        <v>56</v>
      </c>
      <c r="T11" s="204">
        <v>280</v>
      </c>
      <c r="U11" s="205" t="s">
        <v>141</v>
      </c>
      <c r="V11" s="206">
        <v>90</v>
      </c>
      <c r="W11" s="207">
        <v>25200</v>
      </c>
    </row>
    <row r="12" spans="1:27" ht="19.5" customHeight="1" x14ac:dyDescent="0.25">
      <c r="J12" s="326"/>
      <c r="K12" s="327"/>
      <c r="L12" s="328"/>
      <c r="P12" s="125">
        <v>46032</v>
      </c>
      <c r="Q12" s="202" t="s">
        <v>34</v>
      </c>
      <c r="R12" s="203" t="s">
        <v>55</v>
      </c>
      <c r="S12" s="204" t="s">
        <v>10</v>
      </c>
      <c r="T12" s="204">
        <v>20</v>
      </c>
      <c r="U12" s="205" t="s">
        <v>141</v>
      </c>
      <c r="V12" s="206">
        <v>90</v>
      </c>
      <c r="W12" s="207">
        <v>1800</v>
      </c>
    </row>
    <row r="13" spans="1:27" ht="19.5" customHeight="1" thickBot="1" x14ac:dyDescent="0.3">
      <c r="J13" s="329"/>
      <c r="K13" s="330"/>
      <c r="L13" s="331"/>
      <c r="P13" s="125">
        <v>46066</v>
      </c>
      <c r="Q13" s="202" t="s">
        <v>34</v>
      </c>
      <c r="R13" s="203" t="s">
        <v>45</v>
      </c>
      <c r="S13" s="204" t="s">
        <v>17</v>
      </c>
      <c r="T13" s="204">
        <v>500</v>
      </c>
      <c r="U13" s="205" t="s">
        <v>169</v>
      </c>
      <c r="V13" s="206">
        <v>65</v>
      </c>
      <c r="W13" s="207">
        <v>32500</v>
      </c>
    </row>
    <row r="14" spans="1:27" ht="19.5" customHeight="1" x14ac:dyDescent="0.25">
      <c r="P14" s="125">
        <v>46066</v>
      </c>
      <c r="Q14" s="202" t="s">
        <v>34</v>
      </c>
      <c r="R14" s="203">
        <v>28432</v>
      </c>
      <c r="S14" s="204">
        <v>2512786</v>
      </c>
      <c r="T14" s="204">
        <v>10</v>
      </c>
      <c r="U14" s="205" t="s">
        <v>261</v>
      </c>
      <c r="V14" s="206">
        <v>1016</v>
      </c>
      <c r="W14" s="207">
        <v>10160</v>
      </c>
    </row>
    <row r="15" spans="1:27" ht="19.5" customHeight="1" x14ac:dyDescent="0.25">
      <c r="P15" s="125">
        <v>46069</v>
      </c>
      <c r="Q15" s="202" t="s">
        <v>34</v>
      </c>
      <c r="R15" s="203" t="s">
        <v>50</v>
      </c>
      <c r="S15" s="204" t="s">
        <v>16</v>
      </c>
      <c r="T15" s="204">
        <v>500</v>
      </c>
      <c r="U15" s="205" t="s">
        <v>168</v>
      </c>
      <c r="V15" s="206">
        <v>65</v>
      </c>
      <c r="W15" s="207">
        <v>32500</v>
      </c>
    </row>
    <row r="16" spans="1:27" ht="19.5" customHeight="1" x14ac:dyDescent="0.25">
      <c r="P16" s="125">
        <v>46072</v>
      </c>
      <c r="Q16" s="202" t="s">
        <v>34</v>
      </c>
      <c r="R16" s="203" t="s">
        <v>48</v>
      </c>
      <c r="S16" s="204" t="s">
        <v>12</v>
      </c>
      <c r="T16" s="204">
        <v>200</v>
      </c>
      <c r="U16" s="205" t="s">
        <v>160</v>
      </c>
      <c r="V16" s="206">
        <v>185</v>
      </c>
      <c r="W16" s="207">
        <v>37000</v>
      </c>
    </row>
    <row r="17" spans="8:23" ht="19.5" customHeight="1" x14ac:dyDescent="0.25">
      <c r="P17" s="125">
        <v>46072</v>
      </c>
      <c r="Q17" s="202" t="s">
        <v>34</v>
      </c>
      <c r="R17" s="203" t="s">
        <v>48</v>
      </c>
      <c r="S17" s="204" t="s">
        <v>248</v>
      </c>
      <c r="T17" s="204">
        <v>300</v>
      </c>
      <c r="U17" s="205" t="s">
        <v>250</v>
      </c>
      <c r="V17" s="206">
        <v>200</v>
      </c>
      <c r="W17" s="207">
        <v>60000</v>
      </c>
    </row>
    <row r="18" spans="8:23" ht="19.5" customHeight="1" x14ac:dyDescent="0.25">
      <c r="P18" s="125">
        <v>46073</v>
      </c>
      <c r="Q18" s="202" t="s">
        <v>34</v>
      </c>
      <c r="R18" s="203" t="s">
        <v>44</v>
      </c>
      <c r="S18" s="204">
        <v>315620</v>
      </c>
      <c r="T18" s="204">
        <v>150</v>
      </c>
      <c r="U18" s="205" t="s">
        <v>145</v>
      </c>
      <c r="V18" s="206">
        <v>150</v>
      </c>
      <c r="W18" s="207">
        <v>22500</v>
      </c>
    </row>
    <row r="19" spans="8:23" ht="19.5" customHeight="1" x14ac:dyDescent="0.25">
      <c r="P19" s="125">
        <v>46073</v>
      </c>
      <c r="Q19" s="202" t="s">
        <v>34</v>
      </c>
      <c r="R19" s="203" t="s">
        <v>44</v>
      </c>
      <c r="S19" s="204" t="s">
        <v>24</v>
      </c>
      <c r="T19" s="204">
        <v>100</v>
      </c>
      <c r="U19" s="205" t="s">
        <v>162</v>
      </c>
      <c r="V19" s="206">
        <v>225</v>
      </c>
      <c r="W19" s="207">
        <v>22500</v>
      </c>
    </row>
    <row r="20" spans="8:23" ht="19.5" customHeight="1" x14ac:dyDescent="0.25">
      <c r="P20" s="125">
        <v>46076</v>
      </c>
      <c r="Q20" s="202" t="s">
        <v>34</v>
      </c>
      <c r="R20" s="203" t="s">
        <v>33</v>
      </c>
      <c r="S20" s="204" t="s">
        <v>25</v>
      </c>
      <c r="T20" s="204">
        <v>800</v>
      </c>
      <c r="U20" s="205" t="s">
        <v>137</v>
      </c>
      <c r="V20" s="206">
        <v>6</v>
      </c>
      <c r="W20" s="207">
        <v>4800</v>
      </c>
    </row>
    <row r="21" spans="8:23" ht="19.5" customHeight="1" x14ac:dyDescent="0.25">
      <c r="H21" s="213"/>
      <c r="P21" s="125">
        <v>46076</v>
      </c>
      <c r="Q21" s="202" t="s">
        <v>34</v>
      </c>
      <c r="R21" s="203" t="s">
        <v>33</v>
      </c>
      <c r="S21" s="204">
        <v>251120</v>
      </c>
      <c r="T21" s="204">
        <v>2400</v>
      </c>
      <c r="U21" s="205" t="s">
        <v>139</v>
      </c>
      <c r="V21" s="206">
        <v>3</v>
      </c>
      <c r="W21" s="207">
        <v>7200</v>
      </c>
    </row>
    <row r="22" spans="8:23" ht="19.5" customHeight="1" x14ac:dyDescent="0.25">
      <c r="P22" s="125">
        <v>46076</v>
      </c>
      <c r="Q22" s="202" t="s">
        <v>34</v>
      </c>
      <c r="R22" s="203" t="s">
        <v>33</v>
      </c>
      <c r="S22" s="204">
        <v>251120</v>
      </c>
      <c r="T22" s="204">
        <v>2400</v>
      </c>
      <c r="U22" s="205" t="s">
        <v>139</v>
      </c>
      <c r="V22" s="206">
        <v>3</v>
      </c>
      <c r="W22" s="207">
        <v>7200</v>
      </c>
    </row>
    <row r="23" spans="8:23" ht="19.5" customHeight="1" x14ac:dyDescent="0.25">
      <c r="P23" s="125">
        <v>46076</v>
      </c>
      <c r="Q23" s="202" t="s">
        <v>34</v>
      </c>
      <c r="R23" s="203" t="s">
        <v>33</v>
      </c>
      <c r="S23" s="204" t="s">
        <v>60</v>
      </c>
      <c r="T23" s="204">
        <v>2500</v>
      </c>
      <c r="U23" s="205" t="s">
        <v>148</v>
      </c>
      <c r="V23" s="206">
        <v>4</v>
      </c>
      <c r="W23" s="207">
        <v>10000</v>
      </c>
    </row>
    <row r="24" spans="8:23" ht="19.5" customHeight="1" x14ac:dyDescent="0.25">
      <c r="P24" s="125">
        <v>46076</v>
      </c>
      <c r="Q24" s="202" t="s">
        <v>34</v>
      </c>
      <c r="R24" s="203" t="s">
        <v>33</v>
      </c>
      <c r="S24" s="204">
        <v>251102</v>
      </c>
      <c r="T24" s="204">
        <v>1200</v>
      </c>
      <c r="U24" s="205" t="s">
        <v>155</v>
      </c>
      <c r="V24" s="206">
        <v>2</v>
      </c>
      <c r="W24" s="207">
        <v>2400</v>
      </c>
    </row>
    <row r="25" spans="8:23" ht="19.5" customHeight="1" x14ac:dyDescent="0.25">
      <c r="I25" s="190"/>
      <c r="P25" s="125">
        <v>46076</v>
      </c>
      <c r="Q25" s="202" t="s">
        <v>34</v>
      </c>
      <c r="R25" s="203" t="s">
        <v>33</v>
      </c>
      <c r="S25" s="204">
        <v>250637</v>
      </c>
      <c r="T25" s="204">
        <v>30000</v>
      </c>
      <c r="U25" s="205" t="s">
        <v>159</v>
      </c>
      <c r="V25" s="206">
        <v>2</v>
      </c>
      <c r="W25" s="207">
        <v>60000</v>
      </c>
    </row>
    <row r="26" spans="8:23" ht="19.5" customHeight="1" x14ac:dyDescent="0.25">
      <c r="P26" s="125">
        <v>46076</v>
      </c>
      <c r="Q26" s="202" t="s">
        <v>34</v>
      </c>
      <c r="R26" s="203" t="s">
        <v>33</v>
      </c>
      <c r="S26" s="204" t="s">
        <v>61</v>
      </c>
      <c r="T26" s="204">
        <v>1600</v>
      </c>
      <c r="U26" s="205" t="s">
        <v>165</v>
      </c>
      <c r="V26" s="206">
        <v>2.2000000000000002</v>
      </c>
      <c r="W26" s="207">
        <v>3520</v>
      </c>
    </row>
    <row r="27" spans="8:23" ht="19.5" customHeight="1" x14ac:dyDescent="0.25">
      <c r="P27" s="125">
        <v>46076</v>
      </c>
      <c r="Q27" s="202" t="s">
        <v>34</v>
      </c>
      <c r="R27" s="203" t="s">
        <v>33</v>
      </c>
      <c r="S27" s="204">
        <v>2508054</v>
      </c>
      <c r="T27" s="204">
        <v>10000</v>
      </c>
      <c r="U27" s="205" t="s">
        <v>170</v>
      </c>
      <c r="V27" s="206">
        <v>1.8</v>
      </c>
      <c r="W27" s="207">
        <v>18000</v>
      </c>
    </row>
    <row r="28" spans="8:23" ht="19.5" customHeight="1" x14ac:dyDescent="0.25">
      <c r="P28" s="125">
        <v>46076</v>
      </c>
      <c r="Q28" s="202" t="s">
        <v>34</v>
      </c>
      <c r="R28" s="203" t="s">
        <v>33</v>
      </c>
      <c r="S28" s="204">
        <v>2508055</v>
      </c>
      <c r="T28" s="204">
        <v>10000</v>
      </c>
      <c r="U28" s="205" t="s">
        <v>170</v>
      </c>
      <c r="V28" s="206">
        <v>1.8</v>
      </c>
      <c r="W28" s="207">
        <v>18000</v>
      </c>
    </row>
    <row r="29" spans="8:23" ht="19.5" customHeight="1" x14ac:dyDescent="0.25">
      <c r="P29" s="125">
        <v>46079</v>
      </c>
      <c r="Q29" s="202" t="s">
        <v>34</v>
      </c>
      <c r="R29" s="203" t="s">
        <v>53</v>
      </c>
      <c r="S29" s="204" t="s">
        <v>19</v>
      </c>
      <c r="T29" s="204">
        <v>190</v>
      </c>
      <c r="U29" s="205" t="s">
        <v>156</v>
      </c>
      <c r="V29" s="206">
        <v>60</v>
      </c>
      <c r="W29" s="207">
        <v>11400</v>
      </c>
    </row>
    <row r="30" spans="8:23" ht="19.5" customHeight="1" x14ac:dyDescent="0.25">
      <c r="P30" s="125">
        <v>46079</v>
      </c>
      <c r="Q30" s="202" t="s">
        <v>34</v>
      </c>
      <c r="R30" s="203" t="s">
        <v>53</v>
      </c>
      <c r="S30" s="204">
        <v>2511068</v>
      </c>
      <c r="T30" s="204">
        <v>15000</v>
      </c>
      <c r="U30" s="205" t="s">
        <v>170</v>
      </c>
      <c r="V30" s="206">
        <v>1.8</v>
      </c>
      <c r="W30" s="207">
        <v>27000</v>
      </c>
    </row>
    <row r="31" spans="8:23" ht="19.5" customHeight="1" x14ac:dyDescent="0.25">
      <c r="P31" s="125">
        <v>46086</v>
      </c>
      <c r="Q31" s="202" t="s">
        <v>34</v>
      </c>
      <c r="R31" s="203">
        <v>28476</v>
      </c>
      <c r="S31" s="204" t="s">
        <v>63</v>
      </c>
      <c r="T31" s="204">
        <v>210</v>
      </c>
      <c r="U31" s="205" t="s">
        <v>151</v>
      </c>
      <c r="V31" s="206">
        <v>7.33</v>
      </c>
      <c r="W31" s="207">
        <v>1539.3</v>
      </c>
    </row>
    <row r="32" spans="8:23" ht="19.5" customHeight="1" x14ac:dyDescent="0.25">
      <c r="P32" s="125">
        <v>46086</v>
      </c>
      <c r="Q32" s="202" t="s">
        <v>34</v>
      </c>
      <c r="R32" s="203">
        <v>28476</v>
      </c>
      <c r="S32" s="204" t="s">
        <v>64</v>
      </c>
      <c r="T32" s="204">
        <v>4800</v>
      </c>
      <c r="U32" s="205" t="s">
        <v>151</v>
      </c>
      <c r="V32" s="206">
        <v>7.33</v>
      </c>
      <c r="W32" s="207">
        <v>35184</v>
      </c>
    </row>
    <row r="33" spans="8:23" ht="19.5" customHeight="1" x14ac:dyDescent="0.25">
      <c r="H33" s="213"/>
      <c r="I33" s="190"/>
      <c r="P33" s="125">
        <v>46086</v>
      </c>
      <c r="Q33" s="202" t="s">
        <v>34</v>
      </c>
      <c r="R33" s="203">
        <v>28476</v>
      </c>
      <c r="S33" s="204" t="s">
        <v>58</v>
      </c>
      <c r="T33" s="204">
        <v>190</v>
      </c>
      <c r="U33" s="205" t="s">
        <v>151</v>
      </c>
      <c r="V33" s="206">
        <v>7.33</v>
      </c>
      <c r="W33" s="207">
        <v>1392.7</v>
      </c>
    </row>
    <row r="34" spans="8:23" ht="19.5" customHeight="1" x14ac:dyDescent="0.25">
      <c r="H34" s="213"/>
      <c r="I34" s="190"/>
      <c r="P34" s="125">
        <v>46092</v>
      </c>
      <c r="Q34" s="202" t="s">
        <v>34</v>
      </c>
      <c r="R34" s="203" t="s">
        <v>77</v>
      </c>
      <c r="S34" s="204" t="s">
        <v>66</v>
      </c>
      <c r="T34" s="204">
        <v>45</v>
      </c>
      <c r="U34" s="205" t="s">
        <v>171</v>
      </c>
      <c r="V34" s="206">
        <v>1600</v>
      </c>
      <c r="W34" s="207">
        <v>72000</v>
      </c>
    </row>
    <row r="35" spans="8:23" ht="19.5" customHeight="1" x14ac:dyDescent="0.25">
      <c r="H35" s="213"/>
      <c r="I35" s="190"/>
      <c r="P35" s="125">
        <v>46104</v>
      </c>
      <c r="Q35" s="202" t="s">
        <v>34</v>
      </c>
      <c r="R35" s="203" t="s">
        <v>101</v>
      </c>
      <c r="S35" s="204">
        <v>315621</v>
      </c>
      <c r="T35" s="204">
        <v>120</v>
      </c>
      <c r="U35" s="205" t="s">
        <v>145</v>
      </c>
      <c r="V35" s="206">
        <v>150</v>
      </c>
      <c r="W35" s="207">
        <v>18000</v>
      </c>
    </row>
    <row r="36" spans="8:23" ht="19.5" customHeight="1" x14ac:dyDescent="0.25">
      <c r="H36" s="213"/>
      <c r="I36" s="190"/>
      <c r="P36" s="125">
        <v>46104</v>
      </c>
      <c r="Q36" s="202" t="s">
        <v>34</v>
      </c>
      <c r="R36" s="203" t="s">
        <v>101</v>
      </c>
      <c r="S36" s="204" t="s">
        <v>52</v>
      </c>
      <c r="T36" s="204">
        <v>150</v>
      </c>
      <c r="U36" s="205" t="s">
        <v>167</v>
      </c>
      <c r="V36" s="206">
        <v>285</v>
      </c>
      <c r="W36" s="207">
        <v>42750</v>
      </c>
    </row>
    <row r="37" spans="8:23" ht="19.5" customHeight="1" x14ac:dyDescent="0.25">
      <c r="P37" s="125">
        <v>46104</v>
      </c>
      <c r="Q37" s="202" t="s">
        <v>34</v>
      </c>
      <c r="R37" s="203" t="s">
        <v>101</v>
      </c>
      <c r="S37" s="204" t="s">
        <v>16</v>
      </c>
      <c r="T37" s="204">
        <v>300</v>
      </c>
      <c r="U37" s="205" t="s">
        <v>168</v>
      </c>
      <c r="V37" s="206">
        <v>0.21666666666666667</v>
      </c>
      <c r="W37" s="207">
        <v>19500</v>
      </c>
    </row>
    <row r="38" spans="8:23" ht="19.5" customHeight="1" x14ac:dyDescent="0.25">
      <c r="P38" s="125">
        <v>46104</v>
      </c>
      <c r="Q38" s="202" t="s">
        <v>34</v>
      </c>
      <c r="R38" s="203" t="s">
        <v>101</v>
      </c>
      <c r="S38" s="204" t="s">
        <v>66</v>
      </c>
      <c r="T38" s="204">
        <v>45</v>
      </c>
      <c r="U38" s="205" t="s">
        <v>171</v>
      </c>
      <c r="V38" s="206">
        <v>1600</v>
      </c>
      <c r="W38" s="207">
        <v>72000</v>
      </c>
    </row>
    <row r="39" spans="8:23" ht="19.5" customHeight="1" x14ac:dyDescent="0.25">
      <c r="P39" s="125">
        <v>46105</v>
      </c>
      <c r="Q39" s="202" t="s">
        <v>34</v>
      </c>
      <c r="R39" s="203" t="s">
        <v>103</v>
      </c>
      <c r="S39" s="204" t="s">
        <v>67</v>
      </c>
      <c r="T39" s="204">
        <v>840</v>
      </c>
      <c r="U39" s="205" t="s">
        <v>140</v>
      </c>
      <c r="V39" s="206">
        <v>6</v>
      </c>
      <c r="W39" s="207">
        <v>5040</v>
      </c>
    </row>
    <row r="40" spans="8:23" ht="19.5" customHeight="1" x14ac:dyDescent="0.25">
      <c r="P40" s="125">
        <v>46108</v>
      </c>
      <c r="Q40" s="202" t="s">
        <v>34</v>
      </c>
      <c r="R40" s="203" t="s">
        <v>112</v>
      </c>
      <c r="S40" s="204" t="s">
        <v>90</v>
      </c>
      <c r="T40" s="204">
        <v>40</v>
      </c>
      <c r="U40" s="205" t="s">
        <v>154</v>
      </c>
      <c r="V40" s="206">
        <v>395</v>
      </c>
      <c r="W40" s="207">
        <v>15800</v>
      </c>
    </row>
    <row r="41" spans="8:23" ht="19.5" customHeight="1" x14ac:dyDescent="0.25">
      <c r="P41" s="125">
        <v>46111</v>
      </c>
      <c r="Q41" s="202" t="s">
        <v>34</v>
      </c>
      <c r="R41" s="203" t="s">
        <v>113</v>
      </c>
      <c r="S41" s="204">
        <v>315621</v>
      </c>
      <c r="T41" s="204">
        <v>10</v>
      </c>
      <c r="U41" s="205" t="s">
        <v>145</v>
      </c>
      <c r="V41" s="206">
        <v>150</v>
      </c>
      <c r="W41" s="207">
        <v>1500</v>
      </c>
    </row>
    <row r="42" spans="8:23" ht="19.5" customHeight="1" x14ac:dyDescent="0.25">
      <c r="P42" s="125">
        <v>46111</v>
      </c>
      <c r="Q42" s="202" t="s">
        <v>34</v>
      </c>
      <c r="R42" s="203" t="s">
        <v>113</v>
      </c>
      <c r="S42" s="204">
        <v>315620</v>
      </c>
      <c r="T42" s="204">
        <v>59</v>
      </c>
      <c r="U42" s="205" t="s">
        <v>145</v>
      </c>
      <c r="V42" s="206">
        <v>150</v>
      </c>
      <c r="W42" s="207">
        <v>8850</v>
      </c>
    </row>
    <row r="43" spans="8:23" ht="19.5" customHeight="1" x14ac:dyDescent="0.25">
      <c r="P43" s="125">
        <v>46111</v>
      </c>
      <c r="Q43" s="202" t="s">
        <v>34</v>
      </c>
      <c r="R43" s="203" t="s">
        <v>113</v>
      </c>
      <c r="S43" s="204" t="s">
        <v>110</v>
      </c>
      <c r="T43" s="204">
        <v>200</v>
      </c>
      <c r="U43" s="205" t="s">
        <v>152</v>
      </c>
      <c r="V43" s="206">
        <v>35</v>
      </c>
      <c r="W43" s="207">
        <v>7000</v>
      </c>
    </row>
    <row r="44" spans="8:23" ht="19.5" customHeight="1" x14ac:dyDescent="0.25">
      <c r="P44" s="125">
        <v>46111</v>
      </c>
      <c r="Q44" s="202" t="s">
        <v>34</v>
      </c>
      <c r="R44" s="203" t="s">
        <v>113</v>
      </c>
      <c r="S44" s="204" t="s">
        <v>52</v>
      </c>
      <c r="T44" s="204">
        <v>150</v>
      </c>
      <c r="U44" s="205" t="s">
        <v>167</v>
      </c>
      <c r="V44" s="206">
        <v>285</v>
      </c>
      <c r="W44" s="207">
        <v>42750</v>
      </c>
    </row>
    <row r="45" spans="8:23" ht="19.5" customHeight="1" x14ac:dyDescent="0.25">
      <c r="P45" s="125">
        <v>46125</v>
      </c>
      <c r="Q45" s="202" t="s">
        <v>34</v>
      </c>
      <c r="R45" s="203" t="s">
        <v>182</v>
      </c>
      <c r="S45" s="204">
        <v>425303</v>
      </c>
      <c r="T45" s="204">
        <v>2000</v>
      </c>
      <c r="U45" s="205" t="s">
        <v>184</v>
      </c>
      <c r="V45" s="206">
        <v>55</v>
      </c>
      <c r="W45" s="207">
        <v>110000</v>
      </c>
    </row>
    <row r="46" spans="8:23" ht="19.5" customHeight="1" x14ac:dyDescent="0.25">
      <c r="P46" s="125">
        <v>46125</v>
      </c>
      <c r="Q46" s="202" t="s">
        <v>34</v>
      </c>
      <c r="R46" s="203" t="s">
        <v>183</v>
      </c>
      <c r="S46" s="204" t="s">
        <v>86</v>
      </c>
      <c r="T46" s="204">
        <v>500</v>
      </c>
      <c r="U46" s="205" t="s">
        <v>146</v>
      </c>
      <c r="V46" s="206">
        <v>3</v>
      </c>
      <c r="W46" s="207">
        <v>1500</v>
      </c>
    </row>
    <row r="47" spans="8:23" ht="19.5" customHeight="1" x14ac:dyDescent="0.25">
      <c r="P47" s="125">
        <v>46125</v>
      </c>
      <c r="Q47" s="202" t="s">
        <v>34</v>
      </c>
      <c r="R47" s="203" t="s">
        <v>183</v>
      </c>
      <c r="S47" s="204" t="s">
        <v>177</v>
      </c>
      <c r="T47" s="204">
        <v>1000</v>
      </c>
      <c r="U47" s="205" t="s">
        <v>179</v>
      </c>
      <c r="V47" s="206">
        <v>5.8</v>
      </c>
      <c r="W47" s="207">
        <v>5800</v>
      </c>
    </row>
    <row r="48" spans="8:23" ht="19.5" customHeight="1" x14ac:dyDescent="0.25">
      <c r="P48" s="125">
        <v>46133</v>
      </c>
      <c r="Q48" s="202" t="s">
        <v>34</v>
      </c>
      <c r="R48" s="203" t="s">
        <v>183</v>
      </c>
      <c r="S48" s="204" t="s">
        <v>18</v>
      </c>
      <c r="T48" s="204">
        <v>3500</v>
      </c>
      <c r="U48" s="205" t="s">
        <v>134</v>
      </c>
      <c r="V48" s="206">
        <v>4.2</v>
      </c>
      <c r="W48" s="207">
        <v>14700</v>
      </c>
    </row>
    <row r="49" spans="8:23" ht="19.5" customHeight="1" x14ac:dyDescent="0.25">
      <c r="P49" s="125">
        <v>46062</v>
      </c>
      <c r="Q49" s="202" t="s">
        <v>185</v>
      </c>
      <c r="R49" s="203" t="s">
        <v>51</v>
      </c>
      <c r="S49" s="204">
        <v>315621</v>
      </c>
      <c r="T49" s="204">
        <v>200</v>
      </c>
      <c r="U49" s="205" t="s">
        <v>145</v>
      </c>
      <c r="V49" s="206">
        <v>150</v>
      </c>
      <c r="W49" s="207">
        <v>30000</v>
      </c>
    </row>
    <row r="50" spans="8:23" ht="19.5" customHeight="1" x14ac:dyDescent="0.25">
      <c r="P50" s="125">
        <v>46062</v>
      </c>
      <c r="Q50" s="202" t="s">
        <v>185</v>
      </c>
      <c r="R50" s="203" t="s">
        <v>51</v>
      </c>
      <c r="S50" s="204" t="s">
        <v>12</v>
      </c>
      <c r="T50" s="204">
        <v>100</v>
      </c>
      <c r="U50" s="205" t="s">
        <v>160</v>
      </c>
      <c r="V50" s="206">
        <v>185</v>
      </c>
      <c r="W50" s="207">
        <v>18500</v>
      </c>
    </row>
    <row r="51" spans="8:23" ht="19.5" customHeight="1" x14ac:dyDescent="0.25">
      <c r="P51" s="125">
        <v>46062</v>
      </c>
      <c r="Q51" s="202" t="s">
        <v>185</v>
      </c>
      <c r="R51" s="203" t="s">
        <v>51</v>
      </c>
      <c r="S51" s="204" t="s">
        <v>17</v>
      </c>
      <c r="T51" s="204">
        <v>300</v>
      </c>
      <c r="U51" s="205" t="s">
        <v>169</v>
      </c>
      <c r="V51" s="206">
        <v>65</v>
      </c>
      <c r="W51" s="207">
        <v>19500</v>
      </c>
    </row>
    <row r="52" spans="8:23" ht="19.5" customHeight="1" x14ac:dyDescent="0.25">
      <c r="I52" s="190"/>
      <c r="P52" s="125">
        <v>46063</v>
      </c>
      <c r="Q52" s="202" t="s">
        <v>185</v>
      </c>
      <c r="R52" s="203" t="s">
        <v>47</v>
      </c>
      <c r="S52" s="204">
        <v>315620</v>
      </c>
      <c r="T52" s="204">
        <v>160</v>
      </c>
      <c r="U52" s="205" t="s">
        <v>145</v>
      </c>
      <c r="V52" s="206">
        <v>150</v>
      </c>
      <c r="W52" s="207">
        <v>24000</v>
      </c>
    </row>
    <row r="53" spans="8:23" ht="19.5" customHeight="1" x14ac:dyDescent="0.25">
      <c r="P53" s="125">
        <v>46073</v>
      </c>
      <c r="Q53" s="202" t="s">
        <v>185</v>
      </c>
      <c r="R53" s="203" t="s">
        <v>44</v>
      </c>
      <c r="S53" s="204" t="s">
        <v>16</v>
      </c>
      <c r="T53" s="204">
        <v>500</v>
      </c>
      <c r="U53" s="205" t="s">
        <v>168</v>
      </c>
      <c r="V53" s="206">
        <v>65</v>
      </c>
      <c r="W53" s="207">
        <v>32500</v>
      </c>
    </row>
    <row r="54" spans="8:23" ht="19.5" customHeight="1" x14ac:dyDescent="0.25">
      <c r="P54" s="125">
        <v>46084</v>
      </c>
      <c r="Q54" s="202" t="s">
        <v>185</v>
      </c>
      <c r="R54" s="203" t="s">
        <v>65</v>
      </c>
      <c r="S54" s="204" t="s">
        <v>15</v>
      </c>
      <c r="T54" s="204">
        <v>30</v>
      </c>
      <c r="U54" s="205" t="s">
        <v>162</v>
      </c>
      <c r="V54" s="206">
        <v>225</v>
      </c>
      <c r="W54" s="207">
        <v>6750</v>
      </c>
    </row>
    <row r="55" spans="8:23" ht="19.5" customHeight="1" x14ac:dyDescent="0.25">
      <c r="H55" s="213"/>
      <c r="P55" s="125">
        <v>46084</v>
      </c>
      <c r="Q55" s="202" t="s">
        <v>185</v>
      </c>
      <c r="R55" s="203" t="s">
        <v>65</v>
      </c>
      <c r="S55" s="204" t="s">
        <v>15</v>
      </c>
      <c r="T55" s="204">
        <v>30</v>
      </c>
      <c r="U55" s="205" t="s">
        <v>162</v>
      </c>
      <c r="V55" s="206">
        <v>225</v>
      </c>
      <c r="W55" s="207">
        <v>6750</v>
      </c>
    </row>
    <row r="56" spans="8:23" ht="19.5" customHeight="1" x14ac:dyDescent="0.25">
      <c r="P56" s="125">
        <v>46084</v>
      </c>
      <c r="Q56" s="202" t="s">
        <v>185</v>
      </c>
      <c r="R56" s="203" t="s">
        <v>65</v>
      </c>
      <c r="S56" s="204" t="s">
        <v>66</v>
      </c>
      <c r="T56" s="204">
        <v>45</v>
      </c>
      <c r="U56" s="205" t="s">
        <v>171</v>
      </c>
      <c r="V56" s="206">
        <v>2500</v>
      </c>
      <c r="W56" s="207">
        <v>112500</v>
      </c>
    </row>
    <row r="57" spans="8:23" ht="19.5" customHeight="1" x14ac:dyDescent="0.25">
      <c r="P57" s="125">
        <v>46092</v>
      </c>
      <c r="Q57" s="202" t="s">
        <v>185</v>
      </c>
      <c r="R57" s="203" t="s">
        <v>76</v>
      </c>
      <c r="S57" s="204">
        <v>315620</v>
      </c>
      <c r="T57" s="204">
        <v>200</v>
      </c>
      <c r="U57" s="205" t="s">
        <v>145</v>
      </c>
      <c r="V57" s="206">
        <v>150</v>
      </c>
      <c r="W57" s="207">
        <v>30000</v>
      </c>
    </row>
    <row r="58" spans="8:23" ht="19.5" customHeight="1" x14ac:dyDescent="0.25">
      <c r="P58" s="125">
        <v>46097</v>
      </c>
      <c r="Q58" s="202" t="s">
        <v>185</v>
      </c>
      <c r="R58" s="203" t="s">
        <v>91</v>
      </c>
      <c r="S58" s="204" t="s">
        <v>87</v>
      </c>
      <c r="T58" s="204">
        <v>1000</v>
      </c>
      <c r="U58" s="205" t="s">
        <v>132</v>
      </c>
      <c r="V58" s="206">
        <v>33</v>
      </c>
      <c r="W58" s="207">
        <v>33000</v>
      </c>
    </row>
    <row r="59" spans="8:23" ht="19.5" customHeight="1" x14ac:dyDescent="0.25">
      <c r="P59" s="125">
        <v>46097</v>
      </c>
      <c r="Q59" s="202" t="s">
        <v>185</v>
      </c>
      <c r="R59" s="203" t="s">
        <v>91</v>
      </c>
      <c r="S59" s="204" t="s">
        <v>54</v>
      </c>
      <c r="T59" s="204">
        <v>20</v>
      </c>
      <c r="U59" s="205" t="s">
        <v>133</v>
      </c>
      <c r="V59" s="206">
        <v>33</v>
      </c>
      <c r="W59" s="207">
        <v>660</v>
      </c>
    </row>
    <row r="60" spans="8:23" ht="19.5" customHeight="1" x14ac:dyDescent="0.25">
      <c r="P60" s="125">
        <v>46097</v>
      </c>
      <c r="Q60" s="202" t="s">
        <v>185</v>
      </c>
      <c r="R60" s="203" t="s">
        <v>91</v>
      </c>
      <c r="S60" s="204">
        <v>2509128</v>
      </c>
      <c r="T60" s="204">
        <v>100</v>
      </c>
      <c r="U60" s="205" t="s">
        <v>166</v>
      </c>
      <c r="V60" s="206">
        <v>285</v>
      </c>
      <c r="W60" s="207">
        <v>28500</v>
      </c>
    </row>
    <row r="61" spans="8:23" ht="19.5" customHeight="1" x14ac:dyDescent="0.25">
      <c r="P61" s="125">
        <v>46097</v>
      </c>
      <c r="Q61" s="202" t="s">
        <v>185</v>
      </c>
      <c r="R61" s="203" t="s">
        <v>91</v>
      </c>
      <c r="S61" s="204" t="s">
        <v>16</v>
      </c>
      <c r="T61" s="204">
        <v>500</v>
      </c>
      <c r="U61" s="205" t="s">
        <v>168</v>
      </c>
      <c r="V61" s="206">
        <v>65</v>
      </c>
      <c r="W61" s="207">
        <v>32500</v>
      </c>
    </row>
    <row r="62" spans="8:23" ht="19.5" customHeight="1" x14ac:dyDescent="0.25">
      <c r="P62" s="125">
        <v>46105</v>
      </c>
      <c r="Q62" s="202" t="s">
        <v>185</v>
      </c>
      <c r="R62" s="203" t="s">
        <v>102</v>
      </c>
      <c r="S62" s="204" t="s">
        <v>81</v>
      </c>
      <c r="T62" s="204">
        <v>1980</v>
      </c>
      <c r="U62" s="205" t="s">
        <v>181</v>
      </c>
      <c r="V62" s="206">
        <v>15</v>
      </c>
      <c r="W62" s="207">
        <v>29700</v>
      </c>
    </row>
    <row r="63" spans="8:23" ht="19.5" customHeight="1" x14ac:dyDescent="0.25">
      <c r="P63" s="125">
        <v>46105</v>
      </c>
      <c r="Q63" s="202" t="s">
        <v>185</v>
      </c>
      <c r="R63" s="203" t="s">
        <v>102</v>
      </c>
      <c r="S63" s="204" t="s">
        <v>68</v>
      </c>
      <c r="T63" s="204">
        <v>120</v>
      </c>
      <c r="U63" s="205" t="s">
        <v>181</v>
      </c>
      <c r="V63" s="206">
        <v>15</v>
      </c>
      <c r="W63" s="207">
        <v>1800</v>
      </c>
    </row>
    <row r="64" spans="8:23" ht="19.5" customHeight="1" x14ac:dyDescent="0.25">
      <c r="P64" s="125">
        <v>46105</v>
      </c>
      <c r="Q64" s="202" t="s">
        <v>185</v>
      </c>
      <c r="R64" s="203" t="s">
        <v>102</v>
      </c>
      <c r="S64" s="204" t="s">
        <v>23</v>
      </c>
      <c r="T64" s="204">
        <v>30</v>
      </c>
      <c r="U64" s="205" t="s">
        <v>263</v>
      </c>
      <c r="V64" s="206">
        <v>485</v>
      </c>
      <c r="W64" s="207">
        <v>14550</v>
      </c>
    </row>
    <row r="65" spans="16:23" ht="19.5" customHeight="1" x14ac:dyDescent="0.25">
      <c r="P65" s="125">
        <v>46112</v>
      </c>
      <c r="Q65" s="202" t="s">
        <v>185</v>
      </c>
      <c r="R65" s="203" t="s">
        <v>114</v>
      </c>
      <c r="S65" s="204" t="s">
        <v>13</v>
      </c>
      <c r="T65" s="204">
        <v>1200</v>
      </c>
      <c r="U65" s="205" t="s">
        <v>161</v>
      </c>
      <c r="V65" s="206">
        <v>50</v>
      </c>
      <c r="W65" s="207">
        <v>60000</v>
      </c>
    </row>
    <row r="66" spans="16:23" ht="19.5" customHeight="1" x14ac:dyDescent="0.25">
      <c r="P66" s="125">
        <v>46112</v>
      </c>
      <c r="Q66" s="202" t="s">
        <v>185</v>
      </c>
      <c r="R66" s="203" t="s">
        <v>114</v>
      </c>
      <c r="S66" s="204" t="s">
        <v>66</v>
      </c>
      <c r="T66" s="204">
        <v>45</v>
      </c>
      <c r="U66" s="205" t="s">
        <v>171</v>
      </c>
      <c r="V66" s="206">
        <v>1600</v>
      </c>
      <c r="W66" s="207">
        <v>72000</v>
      </c>
    </row>
    <row r="67" spans="16:23" ht="19.5" customHeight="1" x14ac:dyDescent="0.25">
      <c r="P67" s="125">
        <v>46122</v>
      </c>
      <c r="Q67" s="202" t="s">
        <v>185</v>
      </c>
      <c r="R67" s="203" t="s">
        <v>178</v>
      </c>
      <c r="S67" s="204" t="s">
        <v>43</v>
      </c>
      <c r="T67" s="204">
        <v>200</v>
      </c>
      <c r="U67" s="205" t="s">
        <v>144</v>
      </c>
      <c r="V67" s="206">
        <v>65</v>
      </c>
      <c r="W67" s="207">
        <v>13000</v>
      </c>
    </row>
    <row r="68" spans="16:23" ht="19.5" customHeight="1" x14ac:dyDescent="0.25">
      <c r="P68" s="125">
        <v>46122</v>
      </c>
      <c r="Q68" s="202" t="s">
        <v>185</v>
      </c>
      <c r="R68" s="203" t="s">
        <v>178</v>
      </c>
      <c r="S68" s="204" t="s">
        <v>68</v>
      </c>
      <c r="T68" s="204">
        <v>1000</v>
      </c>
      <c r="U68" s="205" t="s">
        <v>181</v>
      </c>
      <c r="V68" s="206">
        <v>15</v>
      </c>
      <c r="W68" s="207">
        <v>15000</v>
      </c>
    </row>
    <row r="69" spans="16:23" ht="19.5" customHeight="1" x14ac:dyDescent="0.25">
      <c r="P69" s="125">
        <v>46122</v>
      </c>
      <c r="Q69" s="202" t="s">
        <v>185</v>
      </c>
      <c r="R69" s="203" t="s">
        <v>178</v>
      </c>
      <c r="S69" s="204" t="s">
        <v>88</v>
      </c>
      <c r="T69" s="204">
        <v>500</v>
      </c>
      <c r="U69" s="205" t="s">
        <v>180</v>
      </c>
      <c r="V69" s="206">
        <v>195</v>
      </c>
      <c r="W69" s="207">
        <v>97500</v>
      </c>
    </row>
    <row r="70" spans="16:23" ht="19.5" customHeight="1" x14ac:dyDescent="0.25">
      <c r="P70" s="125">
        <v>46125</v>
      </c>
      <c r="Q70" s="202" t="s">
        <v>185</v>
      </c>
      <c r="R70" s="203" t="s">
        <v>182</v>
      </c>
      <c r="S70" s="204" t="s">
        <v>52</v>
      </c>
      <c r="T70" s="204">
        <v>52</v>
      </c>
      <c r="U70" s="205" t="s">
        <v>167</v>
      </c>
      <c r="V70" s="206">
        <v>285</v>
      </c>
      <c r="W70" s="207">
        <v>14820</v>
      </c>
    </row>
    <row r="71" spans="16:23" ht="19.5" customHeight="1" x14ac:dyDescent="0.25">
      <c r="P71" s="125">
        <v>46125</v>
      </c>
      <c r="Q71" s="202" t="s">
        <v>185</v>
      </c>
      <c r="R71" s="203" t="s">
        <v>182</v>
      </c>
      <c r="S71" s="204" t="s">
        <v>52</v>
      </c>
      <c r="T71" s="204">
        <v>148</v>
      </c>
      <c r="U71" s="205" t="s">
        <v>167</v>
      </c>
      <c r="V71" s="206">
        <v>285</v>
      </c>
      <c r="W71" s="207">
        <v>42180</v>
      </c>
    </row>
    <row r="72" spans="16:23" ht="19.5" customHeight="1" x14ac:dyDescent="0.25">
      <c r="P72" s="125">
        <v>46126</v>
      </c>
      <c r="Q72" s="202" t="s">
        <v>185</v>
      </c>
      <c r="R72" s="203" t="s">
        <v>197</v>
      </c>
      <c r="S72" s="204" t="s">
        <v>85</v>
      </c>
      <c r="T72" s="204">
        <v>1200</v>
      </c>
      <c r="U72" s="205" t="s">
        <v>181</v>
      </c>
      <c r="V72" s="206">
        <v>18</v>
      </c>
      <c r="W72" s="207">
        <v>21600</v>
      </c>
    </row>
    <row r="73" spans="16:23" ht="19.5" customHeight="1" x14ac:dyDescent="0.25">
      <c r="P73" s="125">
        <v>46126</v>
      </c>
      <c r="Q73" s="202" t="s">
        <v>185</v>
      </c>
      <c r="R73" s="203" t="s">
        <v>197</v>
      </c>
      <c r="S73" s="204" t="s">
        <v>186</v>
      </c>
      <c r="T73" s="204">
        <v>60</v>
      </c>
      <c r="U73" s="205" t="s">
        <v>187</v>
      </c>
      <c r="V73" s="206">
        <v>235</v>
      </c>
      <c r="W73" s="207">
        <v>14100</v>
      </c>
    </row>
    <row r="74" spans="16:23" ht="19.5" customHeight="1" x14ac:dyDescent="0.25">
      <c r="P74" s="125">
        <v>46126</v>
      </c>
      <c r="Q74" s="202" t="s">
        <v>185</v>
      </c>
      <c r="R74" s="203" t="s">
        <v>197</v>
      </c>
      <c r="S74" s="204" t="s">
        <v>13</v>
      </c>
      <c r="T74" s="204">
        <v>600</v>
      </c>
      <c r="U74" s="205" t="s">
        <v>161</v>
      </c>
      <c r="V74" s="206">
        <v>50</v>
      </c>
      <c r="W74" s="207">
        <v>30000</v>
      </c>
    </row>
    <row r="75" spans="16:23" ht="19.5" customHeight="1" x14ac:dyDescent="0.25">
      <c r="P75" s="125">
        <v>46126</v>
      </c>
      <c r="Q75" s="202" t="s">
        <v>185</v>
      </c>
      <c r="R75" s="203" t="s">
        <v>197</v>
      </c>
      <c r="S75" s="204" t="s">
        <v>196</v>
      </c>
      <c r="T75" s="204">
        <v>200</v>
      </c>
      <c r="U75" s="205" t="s">
        <v>198</v>
      </c>
      <c r="V75" s="206">
        <v>285</v>
      </c>
      <c r="W75" s="207">
        <v>57000</v>
      </c>
    </row>
    <row r="76" spans="16:23" ht="19.5" customHeight="1" x14ac:dyDescent="0.25">
      <c r="P76" s="125">
        <v>46126</v>
      </c>
      <c r="Q76" s="202" t="s">
        <v>185</v>
      </c>
      <c r="R76" s="203" t="s">
        <v>197</v>
      </c>
      <c r="S76" s="204" t="s">
        <v>66</v>
      </c>
      <c r="T76" s="204">
        <v>45</v>
      </c>
      <c r="U76" s="205" t="s">
        <v>171</v>
      </c>
      <c r="V76" s="206">
        <v>1600</v>
      </c>
      <c r="W76" s="207">
        <v>72000</v>
      </c>
    </row>
    <row r="77" spans="16:23" ht="19.5" customHeight="1" x14ac:dyDescent="0.25">
      <c r="P77" s="125">
        <v>46127</v>
      </c>
      <c r="Q77" s="202" t="s">
        <v>185</v>
      </c>
      <c r="R77" s="203" t="s">
        <v>199</v>
      </c>
      <c r="S77" s="204" t="s">
        <v>176</v>
      </c>
      <c r="T77" s="204">
        <v>100</v>
      </c>
      <c r="U77" s="205" t="s">
        <v>262</v>
      </c>
      <c r="V77" s="206">
        <v>75</v>
      </c>
      <c r="W77" s="207">
        <v>7500</v>
      </c>
    </row>
    <row r="78" spans="16:23" ht="19.5" customHeight="1" x14ac:dyDescent="0.25">
      <c r="P78" s="125">
        <v>46129</v>
      </c>
      <c r="Q78" s="202" t="s">
        <v>185</v>
      </c>
      <c r="R78" s="203" t="s">
        <v>228</v>
      </c>
      <c r="S78" s="204" t="s">
        <v>82</v>
      </c>
      <c r="T78" s="204">
        <v>2400</v>
      </c>
      <c r="U78" s="205" t="s">
        <v>181</v>
      </c>
      <c r="V78" s="206">
        <v>18</v>
      </c>
      <c r="W78" s="207">
        <v>43200</v>
      </c>
    </row>
    <row r="79" spans="16:23" ht="19.5" customHeight="1" x14ac:dyDescent="0.25">
      <c r="P79" s="125">
        <v>46129</v>
      </c>
      <c r="Q79" s="202" t="s">
        <v>185</v>
      </c>
      <c r="R79" s="203" t="s">
        <v>228</v>
      </c>
      <c r="S79" s="204" t="s">
        <v>222</v>
      </c>
      <c r="T79" s="204">
        <v>200</v>
      </c>
      <c r="U79" s="205" t="s">
        <v>152</v>
      </c>
      <c r="V79" s="206">
        <v>35</v>
      </c>
      <c r="W79" s="207">
        <v>7000</v>
      </c>
    </row>
    <row r="80" spans="16:23" ht="19.5" customHeight="1" x14ac:dyDescent="0.25">
      <c r="P80" s="125">
        <v>46129</v>
      </c>
      <c r="Q80" s="202" t="s">
        <v>185</v>
      </c>
      <c r="R80" s="203" t="s">
        <v>221</v>
      </c>
      <c r="S80" s="204" t="s">
        <v>90</v>
      </c>
      <c r="T80" s="204">
        <v>40</v>
      </c>
      <c r="U80" s="205" t="s">
        <v>154</v>
      </c>
      <c r="V80" s="206">
        <v>395</v>
      </c>
      <c r="W80" s="207">
        <v>15800</v>
      </c>
    </row>
    <row r="81" spans="16:23" ht="19.5" customHeight="1" x14ac:dyDescent="0.25">
      <c r="P81" s="125">
        <v>46129</v>
      </c>
      <c r="Q81" s="202" t="s">
        <v>185</v>
      </c>
      <c r="R81" s="203" t="s">
        <v>221</v>
      </c>
      <c r="S81" s="204" t="s">
        <v>13</v>
      </c>
      <c r="T81" s="204">
        <v>600</v>
      </c>
      <c r="U81" s="205" t="s">
        <v>161</v>
      </c>
      <c r="V81" s="206">
        <v>50</v>
      </c>
      <c r="W81" s="207">
        <v>30000</v>
      </c>
    </row>
    <row r="82" spans="16:23" ht="19.5" customHeight="1" x14ac:dyDescent="0.25">
      <c r="P82" s="125">
        <v>46129</v>
      </c>
      <c r="Q82" s="202" t="s">
        <v>185</v>
      </c>
      <c r="R82" s="203" t="s">
        <v>228</v>
      </c>
      <c r="S82" s="204" t="s">
        <v>248</v>
      </c>
      <c r="T82" s="204">
        <v>320</v>
      </c>
      <c r="U82" s="205" t="s">
        <v>250</v>
      </c>
      <c r="V82" s="206">
        <v>195</v>
      </c>
      <c r="W82" s="207">
        <v>62400</v>
      </c>
    </row>
    <row r="83" spans="16:23" ht="19.5" customHeight="1" x14ac:dyDescent="0.25">
      <c r="P83" s="125">
        <v>46129</v>
      </c>
      <c r="Q83" s="202" t="s">
        <v>185</v>
      </c>
      <c r="R83" s="203" t="s">
        <v>228</v>
      </c>
      <c r="S83" s="204" t="s">
        <v>240</v>
      </c>
      <c r="T83" s="204">
        <v>600</v>
      </c>
      <c r="U83" s="205" t="s">
        <v>245</v>
      </c>
      <c r="V83" s="206">
        <v>18</v>
      </c>
      <c r="W83" s="207">
        <v>10800</v>
      </c>
    </row>
    <row r="84" spans="16:23" ht="19.5" customHeight="1" x14ac:dyDescent="0.25">
      <c r="P84" s="125">
        <v>46129</v>
      </c>
      <c r="Q84" s="202" t="s">
        <v>185</v>
      </c>
      <c r="R84" s="203" t="s">
        <v>228</v>
      </c>
      <c r="S84" s="204" t="s">
        <v>66</v>
      </c>
      <c r="T84" s="204">
        <v>45</v>
      </c>
      <c r="U84" s="205" t="s">
        <v>171</v>
      </c>
      <c r="V84" s="206">
        <v>1600</v>
      </c>
      <c r="W84" s="207">
        <v>72000</v>
      </c>
    </row>
    <row r="85" spans="16:23" ht="19.5" customHeight="1" x14ac:dyDescent="0.25">
      <c r="P85" s="125">
        <v>46129</v>
      </c>
      <c r="Q85" s="202" t="s">
        <v>185</v>
      </c>
      <c r="R85" s="203" t="s">
        <v>221</v>
      </c>
      <c r="S85" s="204" t="s">
        <v>176</v>
      </c>
      <c r="T85" s="204">
        <v>120</v>
      </c>
      <c r="U85" s="205" t="s">
        <v>262</v>
      </c>
      <c r="V85" s="206">
        <v>50</v>
      </c>
      <c r="W85" s="207">
        <v>6000</v>
      </c>
    </row>
    <row r="86" spans="16:23" ht="19.5" customHeight="1" x14ac:dyDescent="0.25">
      <c r="P86" s="125">
        <v>46130</v>
      </c>
      <c r="Q86" s="202" t="s">
        <v>185</v>
      </c>
      <c r="R86" s="203" t="s">
        <v>251</v>
      </c>
      <c r="S86" s="204" t="s">
        <v>248</v>
      </c>
      <c r="T86" s="204">
        <v>120</v>
      </c>
      <c r="U86" s="205" t="s">
        <v>250</v>
      </c>
      <c r="V86" s="206">
        <v>195</v>
      </c>
      <c r="W86" s="207">
        <v>23400</v>
      </c>
    </row>
    <row r="315" spans="1:1" ht="19.5" customHeight="1" x14ac:dyDescent="0.25">
      <c r="A315" s="306"/>
    </row>
    <row r="381" spans="9:9" ht="19.5" customHeight="1" x14ac:dyDescent="0.25">
      <c r="I381" s="190"/>
    </row>
    <row r="384" spans="9:9" ht="19.5" customHeight="1" x14ac:dyDescent="0.25">
      <c r="I384" s="190"/>
    </row>
    <row r="386" spans="8:8" ht="19.5" customHeight="1" x14ac:dyDescent="0.25">
      <c r="H386" s="213"/>
    </row>
    <row r="389" spans="8:8" ht="19.5" customHeight="1" x14ac:dyDescent="0.25">
      <c r="H389" s="213"/>
    </row>
    <row r="495" spans="9:9" ht="19.5" customHeight="1" x14ac:dyDescent="0.25">
      <c r="I495" s="190"/>
    </row>
    <row r="500" spans="8:8" ht="19.5" customHeight="1" x14ac:dyDescent="0.25">
      <c r="H500" s="213"/>
    </row>
    <row r="666" spans="4:4" ht="19.5" customHeight="1" x14ac:dyDescent="0.25">
      <c r="D666" s="236"/>
    </row>
    <row r="695" spans="4:4" ht="19.5" customHeight="1" x14ac:dyDescent="0.25">
      <c r="D695" s="103"/>
    </row>
    <row r="713" spans="4:4" ht="19.5" customHeight="1" x14ac:dyDescent="0.25">
      <c r="D713" s="103"/>
    </row>
    <row r="761" spans="4:4" ht="19.5" customHeight="1" x14ac:dyDescent="0.25">
      <c r="D761" s="103"/>
    </row>
    <row r="791" spans="4:4" ht="19.5" customHeight="1" x14ac:dyDescent="0.25">
      <c r="D791" s="103"/>
    </row>
    <row r="819" spans="3:4" ht="19.5" customHeight="1" x14ac:dyDescent="0.25">
      <c r="D819" s="103"/>
    </row>
    <row r="827" spans="3:4" ht="19.5" customHeight="1" x14ac:dyDescent="0.25">
      <c r="C827" s="191"/>
      <c r="D827" s="103"/>
    </row>
    <row r="828" spans="3:4" ht="19.5" customHeight="1" x14ac:dyDescent="0.25">
      <c r="C828" s="191"/>
      <c r="D828" s="103"/>
    </row>
    <row r="829" spans="3:4" ht="19.5" customHeight="1" x14ac:dyDescent="0.25">
      <c r="C829" s="191"/>
      <c r="D829" s="103"/>
    </row>
    <row r="868" spans="8:9" ht="19.5" customHeight="1" x14ac:dyDescent="0.25">
      <c r="I868" s="190"/>
    </row>
    <row r="871" spans="8:9" ht="19.5" customHeight="1" x14ac:dyDescent="0.25">
      <c r="H871" s="213"/>
    </row>
  </sheetData>
  <sortState xmlns:xlrd2="http://schemas.microsoft.com/office/spreadsheetml/2017/richdata2" ref="A2:H928">
    <sortCondition ref="B2"/>
    <sortCondition ref="A2"/>
  </sortState>
  <mergeCells count="9">
    <mergeCell ref="J10:L13"/>
    <mergeCell ref="Q2:W2"/>
    <mergeCell ref="J1:L1"/>
    <mergeCell ref="Y1:AA1"/>
    <mergeCell ref="J2:L5"/>
    <mergeCell ref="Y2:AA3"/>
    <mergeCell ref="J6:L7"/>
    <mergeCell ref="J8:L9"/>
    <mergeCell ref="P1:W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SortOutgoingByItem">
                <anchor moveWithCells="1" sizeWithCells="1">
                  <from>
                    <xdr:col>9</xdr:col>
                    <xdr:colOff>85725</xdr:colOff>
                    <xdr:row>5</xdr:row>
                    <xdr:rowOff>85725</xdr:rowOff>
                  </from>
                  <to>
                    <xdr:col>11</xdr:col>
                    <xdr:colOff>523875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5" name="Button 3">
              <controlPr defaultSize="0" print="0" autoFill="0" autoPict="0" macro="[0]!SortOutgoingByDateAsc">
                <anchor moveWithCells="1" sizeWithCells="1">
                  <from>
                    <xdr:col>9</xdr:col>
                    <xdr:colOff>85725</xdr:colOff>
                    <xdr:row>7</xdr:row>
                    <xdr:rowOff>85725</xdr:rowOff>
                  </from>
                  <to>
                    <xdr:col>10</xdr:col>
                    <xdr:colOff>266700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6" name="Button 4">
              <controlPr defaultSize="0" print="0" autoFill="0" autoPict="0" macro="[0]!SortOutgoingByDateDesc">
                <anchor moveWithCells="1" sizeWithCells="1">
                  <from>
                    <xdr:col>10</xdr:col>
                    <xdr:colOff>352425</xdr:colOff>
                    <xdr:row>7</xdr:row>
                    <xdr:rowOff>85725</xdr:rowOff>
                  </from>
                  <to>
                    <xdr:col>11</xdr:col>
                    <xdr:colOff>523875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7" name="Button 5">
              <controlPr defaultSize="0" print="0" autoFill="0" autoPict="0" macro="[0]!SearchOutgoing">
                <anchor moveWithCells="1" sizeWithCells="1">
                  <from>
                    <xdr:col>24</xdr:col>
                    <xdr:colOff>85725</xdr:colOff>
                    <xdr:row>0</xdr:row>
                    <xdr:rowOff>66675</xdr:rowOff>
                  </from>
                  <to>
                    <xdr:col>26</xdr:col>
                    <xdr:colOff>523875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8" name="Button 6">
              <controlPr defaultSize="0" print="0" autoFill="0" autoPict="0" macro="[0]!ClearOutgoingSearch">
                <anchor moveWithCells="1" sizeWithCells="1">
                  <from>
                    <xdr:col>24</xdr:col>
                    <xdr:colOff>85725</xdr:colOff>
                    <xdr:row>1</xdr:row>
                    <xdr:rowOff>238125</xdr:rowOff>
                  </from>
                  <to>
                    <xdr:col>26</xdr:col>
                    <xdr:colOff>523875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1" r:id="rId9" name="Button 1">
              <controlPr defaultSize="0" print="0" autoFill="0" autoPict="0" macro="[0]!SortOutgoingBySoldTo">
                <anchor moveWithCells="1" sizeWithCells="1">
                  <from>
                    <xdr:col>9</xdr:col>
                    <xdr:colOff>85725</xdr:colOff>
                    <xdr:row>1</xdr:row>
                    <xdr:rowOff>76200</xdr:rowOff>
                  </from>
                  <to>
                    <xdr:col>11</xdr:col>
                    <xdr:colOff>523875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RefreshOutgoingItems">
                <anchor moveWithCells="1" sizeWithCells="1">
                  <from>
                    <xdr:col>9</xdr:col>
                    <xdr:colOff>85725</xdr:colOff>
                    <xdr:row>9</xdr:row>
                    <xdr:rowOff>76200</xdr:rowOff>
                  </from>
                  <to>
                    <xdr:col>11</xdr:col>
                    <xdr:colOff>523875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B54B4B"/>
  </sheetPr>
  <dimension ref="A1:B1"/>
  <sheetViews>
    <sheetView workbookViewId="0"/>
  </sheetViews>
  <sheetFormatPr defaultRowHeight="15" x14ac:dyDescent="0.25"/>
  <cols>
    <col min="1" max="1" width="51" customWidth="1"/>
    <col min="2" max="2" width="67" customWidth="1"/>
  </cols>
  <sheetData>
    <row r="1" spans="1:2" ht="115.5" customHeight="1" thickBot="1" x14ac:dyDescent="0.3">
      <c r="A1" s="14" t="s">
        <v>118</v>
      </c>
      <c r="B1" s="13">
        <v>850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B54B4B"/>
  </sheetPr>
  <dimension ref="A1:C12"/>
  <sheetViews>
    <sheetView workbookViewId="0">
      <selection activeCell="D5" sqref="D5"/>
    </sheetView>
  </sheetViews>
  <sheetFormatPr defaultRowHeight="15" x14ac:dyDescent="0.25"/>
  <cols>
    <col min="1" max="1" width="11.42578125" customWidth="1"/>
    <col min="2" max="2" width="12.85546875" customWidth="1"/>
    <col min="3" max="3" width="18.42578125" customWidth="1"/>
    <col min="4" max="4" width="12.140625" customWidth="1"/>
    <col min="5" max="5" width="12.5703125" customWidth="1"/>
    <col min="6" max="6" width="11.5703125" customWidth="1"/>
  </cols>
  <sheetData>
    <row r="1" spans="1:3" ht="15.75" thickBot="1" x14ac:dyDescent="0.3">
      <c r="A1" s="7" t="s">
        <v>3</v>
      </c>
      <c r="C1" s="17" t="s">
        <v>115</v>
      </c>
    </row>
    <row r="2" spans="1:3" x14ac:dyDescent="0.25">
      <c r="A2" s="5" t="s">
        <v>4</v>
      </c>
      <c r="C2" s="15" t="s">
        <v>117</v>
      </c>
    </row>
    <row r="3" spans="1:3" ht="15.75" thickBot="1" x14ac:dyDescent="0.3">
      <c r="A3" s="3" t="s">
        <v>5</v>
      </c>
      <c r="C3" s="16" t="s">
        <v>116</v>
      </c>
    </row>
    <row r="4" spans="1:3" x14ac:dyDescent="0.25">
      <c r="A4" s="3" t="s">
        <v>14</v>
      </c>
    </row>
    <row r="5" spans="1:3" x14ac:dyDescent="0.25">
      <c r="A5" s="3" t="s">
        <v>6</v>
      </c>
    </row>
    <row r="6" spans="1:3" x14ac:dyDescent="0.25">
      <c r="A6" s="3" t="s">
        <v>7</v>
      </c>
    </row>
    <row r="7" spans="1:3" x14ac:dyDescent="0.25">
      <c r="A7" s="3" t="s">
        <v>0</v>
      </c>
    </row>
    <row r="8" spans="1:3" x14ac:dyDescent="0.25">
      <c r="A8" s="3" t="s">
        <v>20</v>
      </c>
    </row>
    <row r="9" spans="1:3" x14ac:dyDescent="0.25">
      <c r="A9" s="3" t="s">
        <v>21</v>
      </c>
    </row>
    <row r="10" spans="1:3" x14ac:dyDescent="0.25">
      <c r="A10" s="3" t="s">
        <v>57</v>
      </c>
    </row>
    <row r="11" spans="1:3" x14ac:dyDescent="0.25">
      <c r="A11" s="3" t="s">
        <v>59</v>
      </c>
    </row>
    <row r="12" spans="1:3" ht="15.75" thickBot="1" x14ac:dyDescent="0.3">
      <c r="A12" s="6" t="s">
        <v>62</v>
      </c>
    </row>
  </sheetData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Inventory_DB</vt:lpstr>
      <vt:lpstr>Inventory_Form</vt:lpstr>
      <vt:lpstr>Outgoing_DB</vt:lpstr>
      <vt:lpstr>Config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Denver Dela Masa</dc:creator>
  <cp:lastModifiedBy>Denver Dela Masa</cp:lastModifiedBy>
  <cp:lastPrinted>2026-04-08T08:09:03Z</cp:lastPrinted>
  <dcterms:created xsi:type="dcterms:W3CDTF">2026-02-19T01:41:37Z</dcterms:created>
  <dcterms:modified xsi:type="dcterms:W3CDTF">2026-04-22T02:28:00Z</dcterms:modified>
</cp:coreProperties>
</file>